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84" tabRatio="635" activeTab="8"/>
  </bookViews>
  <sheets>
    <sheet name="Status" sheetId="6" r:id="rId1"/>
    <sheet name="Checklist" sheetId="7" r:id="rId2"/>
    <sheet name="Register" sheetId="8" r:id="rId3"/>
    <sheet name="Scan CMU" sheetId="5" r:id="rId4"/>
    <sheet name="mask test" sheetId="11" r:id="rId5"/>
    <sheet name="Squelch Level" sheetId="9" r:id="rId6"/>
    <sheet name="Test JK" sheetId="12" r:id="rId7"/>
    <sheet name="TERM" sheetId="13" r:id="rId8"/>
    <sheet name="RX JTOL" sheetId="14" r:id="rId9"/>
    <sheet name="CTS" sheetId="15" r:id="rId10"/>
    <sheet name="premp" sheetId="16" r:id="rId11"/>
  </sheets>
  <definedNames>
    <definedName name="_xlnm._FilterDatabase" localSheetId="3" hidden="1">'Scan CMU'!$F$1:$F$209</definedName>
    <definedName name="SummaryTest216" localSheetId="9">CTS!$B$9</definedName>
    <definedName name="SummaryTest219" localSheetId="9">CTS!$V$9</definedName>
    <definedName name="SummaryTest2220" localSheetId="9">CTS!$L$9</definedName>
    <definedName name="Top" localSheetId="9">CTS!$B$3</definedName>
  </definedNames>
  <calcPr calcId="162913"/>
</workbook>
</file>

<file path=xl/calcChain.xml><?xml version="1.0" encoding="utf-8"?>
<calcChain xmlns="http://schemas.openxmlformats.org/spreadsheetml/2006/main">
  <c r="C18" i="13" l="1"/>
  <c r="C9" i="13"/>
  <c r="I29" i="11"/>
  <c r="B29" i="11"/>
  <c r="S9" i="13" l="1"/>
  <c r="Q9" i="13"/>
  <c r="L9" i="13"/>
  <c r="J9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C10" i="13"/>
  <c r="C11" i="13"/>
  <c r="C12" i="13"/>
  <c r="C13" i="13"/>
  <c r="C14" i="13"/>
  <c r="C15" i="13"/>
  <c r="C16" i="13"/>
  <c r="C17" i="13"/>
  <c r="C19" i="13"/>
  <c r="C20" i="13"/>
  <c r="C21" i="13"/>
  <c r="C22" i="13"/>
  <c r="C23" i="13"/>
  <c r="C24" i="13"/>
  <c r="C8" i="13"/>
</calcChain>
</file>

<file path=xl/comments1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由</t>
        </r>
        <r>
          <rPr>
            <sz val="9"/>
            <color indexed="81"/>
            <rFont val="Tahoma"/>
            <family val="2"/>
          </rPr>
          <t>AIC</t>
        </r>
        <r>
          <rPr>
            <sz val="9"/>
            <color indexed="81"/>
            <rFont val="細明體"/>
            <family val="3"/>
            <charset val="136"/>
          </rPr>
          <t>確認是否需要測試</t>
        </r>
      </text>
    </comment>
    <comment ref="F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由</t>
        </r>
        <r>
          <rPr>
            <sz val="9"/>
            <color indexed="81"/>
            <rFont val="Tahoma"/>
            <family val="2"/>
          </rPr>
          <t>SD</t>
        </r>
        <r>
          <rPr>
            <sz val="9"/>
            <color indexed="81"/>
            <rFont val="細明體"/>
            <family val="3"/>
            <charset val="136"/>
          </rPr>
          <t>回報測試結果</t>
        </r>
      </text>
    </comment>
    <comment ref="I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提出與測試項目有關的參數</t>
        </r>
      </text>
    </comment>
    <comment ref="N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指定測試晶片的數量</t>
        </r>
      </text>
    </comment>
  </commentList>
</comments>
</file>

<file path=xl/sharedStrings.xml><?xml version="1.0" encoding="utf-8"?>
<sst xmlns="http://schemas.openxmlformats.org/spreadsheetml/2006/main" count="1691" uniqueCount="338">
  <si>
    <t>Bit[6:6]</t>
  </si>
  <si>
    <t>Bit[0:0]</t>
  </si>
  <si>
    <t>Bit[7:5]</t>
  </si>
  <si>
    <t>Bit[2:0]</t>
  </si>
  <si>
    <t>Jitter_Pk_Pk</t>
  </si>
  <si>
    <t>Jitter_RMS</t>
  </si>
  <si>
    <t>Amplitude mVpp</t>
  </si>
  <si>
    <t>Eye_Height mVpp</t>
  </si>
  <si>
    <t>0x0000</t>
  </si>
  <si>
    <t>0x0001</t>
  </si>
  <si>
    <t>0x0002</t>
  </si>
  <si>
    <t>0x0003</t>
  </si>
  <si>
    <t>0x0004</t>
  </si>
  <si>
    <t>0x0005</t>
  </si>
  <si>
    <t>0x0006</t>
  </si>
  <si>
    <t>0x0007</t>
  </si>
  <si>
    <t>Icp/uA           Page 0x0000 REG 0x00E2</t>
    <phoneticPr fontId="1" type="noConversion"/>
  </si>
  <si>
    <t>SR/k               Page 0x0000 REG 0x00E6</t>
    <phoneticPr fontId="1" type="noConversion"/>
  </si>
  <si>
    <t>SC           Page 0x0000 REG 0x00E2</t>
    <phoneticPr fontId="1" type="noConversion"/>
  </si>
  <si>
    <t>Mode              Page 0x0000 REG 0x00E1</t>
    <phoneticPr fontId="1" type="noConversion"/>
  </si>
  <si>
    <t>Icp</t>
    <phoneticPr fontId="1" type="noConversion"/>
  </si>
  <si>
    <t>device打0101pattern：0xF2[7:0]=0x94,0xf3[7:0]=0xbb,0xf6[6]=1b'0,0xf6[7]=1b'1</t>
    <phoneticPr fontId="1" type="noConversion"/>
  </si>
  <si>
    <t>Item</t>
  </si>
  <si>
    <t>Date</t>
  </si>
  <si>
    <t>Time(Day)</t>
  </si>
  <si>
    <t>Detail</t>
    <phoneticPr fontId="1" type="noConversion"/>
  </si>
  <si>
    <t xml:space="preserve">1、device只能认到为full speed，原因是fw那边做实验将device锁定在full speed mode下，修改了几版fw后可认到device为high speed。                                         2、1m的线可以正常认卡，2m以上线无法正常认卡，原因是IC的REF上本应接12k的电阻接成了24k，将24k电阻换成12k后可正常认卡。                                           3、host向device下command，operation failed，目前还未找到原因。
</t>
    <phoneticPr fontId="7" type="noConversion"/>
  </si>
  <si>
    <t>20180226-20180302</t>
    <phoneticPr fontId="1" type="noConversion"/>
  </si>
  <si>
    <t>20180305-20180309</t>
    <phoneticPr fontId="1" type="noConversion"/>
  </si>
  <si>
    <r>
      <t>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host</t>
    </r>
    <r>
      <rPr>
        <sz val="12"/>
        <rFont val="宋体"/>
        <family val="3"/>
        <charset val="134"/>
      </rPr>
      <t>向</t>
    </r>
    <r>
      <rPr>
        <sz val="12"/>
        <rFont val="Arial"/>
        <family val="2"/>
      </rPr>
      <t>device</t>
    </r>
    <r>
      <rPr>
        <sz val="12"/>
        <rFont val="宋体"/>
        <family val="3"/>
        <charset val="134"/>
      </rPr>
      <t>下</t>
    </r>
    <r>
      <rPr>
        <sz val="12"/>
        <rFont val="Arial"/>
        <family val="2"/>
      </rPr>
      <t>command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operation failed</t>
    </r>
    <r>
      <rPr>
        <sz val="12"/>
        <rFont val="宋体"/>
        <family val="3"/>
        <charset val="134"/>
      </rPr>
      <t>。</t>
    </r>
    <r>
      <rPr>
        <sz val="12"/>
        <rFont val="Arial"/>
        <family val="2"/>
      </rPr>
      <t xml:space="preserve">                                                         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）怀疑可能是</t>
    </r>
    <r>
      <rPr>
        <sz val="12"/>
        <rFont val="Arial"/>
        <family val="2"/>
      </rPr>
      <t>swing</t>
    </r>
    <r>
      <rPr>
        <sz val="12"/>
        <rFont val="宋体"/>
        <family val="3"/>
        <charset val="134"/>
      </rPr>
      <t>太小，</t>
    </r>
    <r>
      <rPr>
        <sz val="12"/>
        <rFont val="Arial"/>
        <family val="2"/>
      </rPr>
      <t>NSQ</t>
    </r>
    <r>
      <rPr>
        <sz val="12"/>
        <rFont val="宋体"/>
        <family val="3"/>
        <charset val="134"/>
      </rPr>
      <t>拉不起来，换了短</t>
    </r>
    <r>
      <rPr>
        <sz val="12"/>
        <rFont val="Arial"/>
        <family val="2"/>
      </rPr>
      <t>cable</t>
    </r>
    <r>
      <rPr>
        <sz val="12"/>
        <rFont val="宋体"/>
        <family val="3"/>
        <charset val="134"/>
      </rPr>
      <t>后，问题没有解决；</t>
    </r>
    <r>
      <rPr>
        <sz val="12"/>
        <rFont val="Arial"/>
        <family val="2"/>
      </rPr>
      <t xml:space="preserve">                                  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）怀疑可能是</t>
    </r>
    <r>
      <rPr>
        <sz val="12"/>
        <rFont val="Arial"/>
        <family val="2"/>
      </rPr>
      <t>rx</t>
    </r>
    <r>
      <rPr>
        <sz val="12"/>
        <rFont val="宋体"/>
        <family val="3"/>
        <charset val="134"/>
      </rPr>
      <t>接收的问题，分别在</t>
    </r>
    <r>
      <rPr>
        <sz val="12"/>
        <rFont val="Arial"/>
        <family val="2"/>
      </rPr>
      <t>link</t>
    </r>
    <r>
      <rPr>
        <sz val="12"/>
        <rFont val="宋体"/>
        <family val="3"/>
        <charset val="134"/>
      </rPr>
      <t>后和下</t>
    </r>
    <r>
      <rPr>
        <sz val="12"/>
        <rFont val="Arial"/>
        <family val="2"/>
      </rPr>
      <t>command</t>
    </r>
    <r>
      <rPr>
        <sz val="12"/>
        <rFont val="宋体"/>
        <family val="3"/>
        <charset val="134"/>
      </rPr>
      <t>后读</t>
    </r>
    <r>
      <rPr>
        <sz val="12"/>
        <rFont val="Arial"/>
        <family val="2"/>
      </rPr>
      <t>0xB7</t>
    </r>
    <r>
      <rPr>
        <sz val="12"/>
        <rFont val="宋体"/>
        <family val="3"/>
        <charset val="134"/>
      </rPr>
      <t>的值，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在</t>
    </r>
    <r>
      <rPr>
        <sz val="12"/>
        <rFont val="Arial"/>
        <family val="2"/>
      </rPr>
      <t>link</t>
    </r>
    <r>
      <rPr>
        <sz val="12"/>
        <rFont val="宋体"/>
        <family val="3"/>
        <charset val="134"/>
      </rPr>
      <t>时</t>
    </r>
    <r>
      <rPr>
        <sz val="12"/>
        <rFont val="Arial"/>
        <family val="2"/>
      </rPr>
      <t>0xB7=0x20</t>
    </r>
    <r>
      <rPr>
        <sz val="12"/>
        <rFont val="宋体"/>
        <family val="3"/>
        <charset val="134"/>
      </rPr>
      <t>，表示</t>
    </r>
    <r>
      <rPr>
        <sz val="12"/>
        <rFont val="Arial"/>
        <family val="2"/>
      </rPr>
      <t>usof</t>
    </r>
    <r>
      <rPr>
        <sz val="12"/>
        <rFont val="宋体"/>
        <family val="3"/>
        <charset val="134"/>
      </rPr>
      <t>是合乎編碼，沒有收錯；</t>
    </r>
    <r>
      <rPr>
        <sz val="12"/>
        <rFont val="Arial"/>
        <family val="2"/>
      </rPr>
      <t xml:space="preserve">                                                          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）使用</t>
    </r>
    <r>
      <rPr>
        <sz val="12"/>
        <rFont val="Arial"/>
        <family val="2"/>
      </rPr>
      <t>CATC</t>
    </r>
    <r>
      <rPr>
        <sz val="12"/>
        <rFont val="宋体"/>
        <family val="3"/>
        <charset val="134"/>
      </rPr>
      <t>录下向</t>
    </r>
    <r>
      <rPr>
        <sz val="12"/>
        <rFont val="Arial"/>
        <family val="2"/>
      </rPr>
      <t>device</t>
    </r>
    <r>
      <rPr>
        <sz val="12"/>
        <rFont val="宋体"/>
        <family val="3"/>
        <charset val="134"/>
      </rPr>
      <t>打</t>
    </r>
    <r>
      <rPr>
        <sz val="12"/>
        <rFont val="Arial"/>
        <family val="2"/>
      </rPr>
      <t>command</t>
    </r>
    <r>
      <rPr>
        <sz val="12"/>
        <rFont val="宋体"/>
        <family val="3"/>
        <charset val="134"/>
      </rPr>
      <t>后的信息，发现</t>
    </r>
    <r>
      <rPr>
        <sz val="12"/>
        <rFont val="Arial"/>
        <family val="2"/>
      </rPr>
      <t xml:space="preserve"> device</t>
    </r>
    <r>
      <rPr>
        <sz val="12"/>
        <rFont val="宋体"/>
        <family val="3"/>
        <charset val="134"/>
      </rPr>
      <t>在</t>
    </r>
    <r>
      <rPr>
        <sz val="12"/>
        <rFont val="Arial"/>
        <family val="2"/>
      </rPr>
      <t>ACK</t>
    </r>
    <r>
      <rPr>
        <sz val="12"/>
        <rFont val="宋体"/>
        <family val="3"/>
        <charset val="134"/>
      </rPr>
      <t>后回给</t>
    </r>
    <r>
      <rPr>
        <sz val="12"/>
        <rFont val="Arial"/>
        <family val="2"/>
      </rPr>
      <t>host</t>
    </r>
    <r>
      <rPr>
        <sz val="12"/>
        <rFont val="宋体"/>
        <family val="3"/>
        <charset val="134"/>
      </rPr>
      <t>的信息出现</t>
    </r>
    <r>
      <rPr>
        <sz val="12"/>
        <rFont val="Arial"/>
        <family val="2"/>
      </rPr>
      <t>error</t>
    </r>
    <r>
      <rPr>
        <sz val="12"/>
        <rFont val="宋体"/>
        <family val="3"/>
        <charset val="134"/>
      </rPr>
      <t>，最终修改</t>
    </r>
    <r>
      <rPr>
        <sz val="12"/>
        <rFont val="Arial"/>
        <family val="2"/>
      </rPr>
      <t>fw</t>
    </r>
    <r>
      <rPr>
        <sz val="12"/>
        <rFont val="宋体"/>
        <family val="3"/>
        <charset val="134"/>
      </rPr>
      <t>后，问题解决。</t>
    </r>
    <r>
      <rPr>
        <sz val="12"/>
        <rFont val="Arial"/>
        <family val="2"/>
      </rPr>
      <t xml:space="preserve">                                                                                       2</t>
    </r>
    <r>
      <rPr>
        <sz val="12"/>
        <rFont val="宋体"/>
        <family val="3"/>
        <charset val="134"/>
      </rPr>
      <t>、进行眼图测试时发现</t>
    </r>
    <r>
      <rPr>
        <sz val="12"/>
        <rFont val="Arial"/>
        <family val="2"/>
      </rPr>
      <t>eye jitter</t>
    </r>
    <r>
      <rPr>
        <sz val="12"/>
        <rFont val="宋体"/>
        <family val="3"/>
        <charset val="134"/>
      </rPr>
      <t>很大。</t>
    </r>
    <r>
      <rPr>
        <sz val="12"/>
        <rFont val="Arial"/>
        <family val="2"/>
      </rPr>
      <t xml:space="preserve">                                   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）将</t>
    </r>
    <r>
      <rPr>
        <sz val="12"/>
        <rFont val="Arial"/>
        <family val="2"/>
      </rPr>
      <t>SRC</t>
    </r>
    <r>
      <rPr>
        <sz val="12"/>
        <rFont val="宋体"/>
        <family val="3"/>
        <charset val="134"/>
      </rPr>
      <t>调整为</t>
    </r>
    <r>
      <rPr>
        <sz val="12"/>
        <rFont val="Arial"/>
        <family val="2"/>
      </rPr>
      <t>010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100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110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111</t>
    </r>
    <r>
      <rPr>
        <sz val="12"/>
        <rFont val="宋体"/>
        <family val="3"/>
        <charset val="134"/>
      </rPr>
      <t>后，</t>
    </r>
    <r>
      <rPr>
        <sz val="12"/>
        <rFont val="Arial"/>
        <family val="2"/>
      </rPr>
      <t>slew rate</t>
    </r>
    <r>
      <rPr>
        <sz val="12"/>
        <rFont val="宋体"/>
        <family val="3"/>
        <charset val="134"/>
      </rPr>
      <t>有改善，在</t>
    </r>
    <r>
      <rPr>
        <sz val="12"/>
        <rFont val="Arial"/>
        <family val="2"/>
      </rPr>
      <t>SRC[2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>0]=010</t>
    </r>
    <r>
      <rPr>
        <sz val="12"/>
        <rFont val="宋体"/>
        <family val="3"/>
        <charset val="134"/>
      </rPr>
      <t>时，最好；</t>
    </r>
    <r>
      <rPr>
        <sz val="12"/>
        <rFont val="Arial"/>
        <family val="2"/>
      </rPr>
      <t xml:space="preserve">                                                                                          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）怀疑是</t>
    </r>
    <r>
      <rPr>
        <sz val="12"/>
        <rFont val="Arial"/>
        <family val="2"/>
      </rPr>
      <t>pll</t>
    </r>
    <r>
      <rPr>
        <sz val="12"/>
        <rFont val="宋体"/>
        <family val="3"/>
        <charset val="134"/>
      </rPr>
      <t>的问题导致</t>
    </r>
    <r>
      <rPr>
        <sz val="12"/>
        <rFont val="Arial"/>
        <family val="2"/>
      </rPr>
      <t>jitter</t>
    </r>
    <r>
      <rPr>
        <sz val="12"/>
        <rFont val="宋体"/>
        <family val="3"/>
        <charset val="134"/>
      </rPr>
      <t>太大，将</t>
    </r>
    <r>
      <rPr>
        <sz val="12"/>
        <rFont val="Arial"/>
        <family val="2"/>
      </rPr>
      <t>Oscilator mode</t>
    </r>
    <r>
      <rPr>
        <sz val="12"/>
        <rFont val="宋体"/>
        <family val="3"/>
        <charset val="134"/>
      </rPr>
      <t>修改为</t>
    </r>
    <r>
      <rPr>
        <sz val="12"/>
        <rFont val="Arial"/>
        <family val="2"/>
      </rPr>
      <t>VCO mode</t>
    </r>
    <r>
      <rPr>
        <sz val="12"/>
        <rFont val="宋体"/>
        <family val="3"/>
        <charset val="134"/>
      </rPr>
      <t>后，</t>
    </r>
    <r>
      <rPr>
        <sz val="12"/>
        <rFont val="Arial"/>
        <family val="2"/>
      </rPr>
      <t>jitter</t>
    </r>
    <r>
      <rPr>
        <sz val="12"/>
        <rFont val="宋体"/>
        <family val="3"/>
        <charset val="134"/>
      </rPr>
      <t>有明显改善。分别在</t>
    </r>
    <r>
      <rPr>
        <sz val="12"/>
        <rFont val="Arial"/>
        <family val="2"/>
      </rPr>
      <t>CCO mode</t>
    </r>
    <r>
      <rPr>
        <sz val="12"/>
        <rFont val="宋体"/>
        <family val="3"/>
        <charset val="134"/>
      </rPr>
      <t>下抬高</t>
    </r>
    <r>
      <rPr>
        <sz val="12"/>
        <rFont val="Arial"/>
        <family val="2"/>
      </rPr>
      <t>Icp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VCO mode</t>
    </r>
    <r>
      <rPr>
        <sz val="12"/>
        <rFont val="宋体"/>
        <family val="3"/>
        <charset val="134"/>
      </rPr>
      <t>下降低</t>
    </r>
    <r>
      <rPr>
        <sz val="12"/>
        <rFont val="Arial"/>
        <family val="2"/>
      </rPr>
      <t>Icp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CCO mode</t>
    </r>
    <r>
      <rPr>
        <sz val="12"/>
        <rFont val="宋体"/>
        <family val="3"/>
        <charset val="134"/>
      </rPr>
      <t>下抬高</t>
    </r>
    <r>
      <rPr>
        <sz val="12"/>
        <rFont val="Arial"/>
        <family val="2"/>
      </rPr>
      <t>Icp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eye</t>
    </r>
    <r>
      <rPr>
        <sz val="12"/>
        <rFont val="宋体"/>
        <family val="3"/>
        <charset val="134"/>
      </rPr>
      <t>有改善，</t>
    </r>
    <r>
      <rPr>
        <sz val="12"/>
        <rFont val="Arial"/>
        <family val="2"/>
      </rPr>
      <t>REG_CP[2:0]=100</t>
    </r>
    <r>
      <rPr>
        <sz val="12"/>
        <rFont val="宋体"/>
        <family val="3"/>
        <charset val="134"/>
      </rPr>
      <t>时，相对最好；</t>
    </r>
    <r>
      <rPr>
        <sz val="12"/>
        <rFont val="Arial"/>
        <family val="2"/>
      </rPr>
      <t>VCO mode</t>
    </r>
    <r>
      <rPr>
        <sz val="12"/>
        <rFont val="宋体"/>
        <family val="3"/>
        <charset val="134"/>
      </rPr>
      <t>下降低</t>
    </r>
    <r>
      <rPr>
        <sz val="12"/>
        <rFont val="Arial"/>
        <family val="2"/>
      </rPr>
      <t>Icp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REG_CP[2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>0]=000</t>
    </r>
    <r>
      <rPr>
        <sz val="12"/>
        <rFont val="宋体"/>
        <family val="3"/>
        <charset val="134"/>
      </rPr>
      <t>时，相对最好。总体来说，</t>
    </r>
    <r>
      <rPr>
        <sz val="12"/>
        <rFont val="Arial"/>
        <family val="2"/>
      </rPr>
      <t>VCO mode</t>
    </r>
    <r>
      <rPr>
        <sz val="12"/>
        <rFont val="宋体"/>
        <family val="3"/>
        <charset val="134"/>
      </rPr>
      <t>的性能要比</t>
    </r>
    <r>
      <rPr>
        <sz val="12"/>
        <rFont val="Arial"/>
        <family val="2"/>
      </rPr>
      <t>CCO mode</t>
    </r>
    <r>
      <rPr>
        <sz val="12"/>
        <rFont val="宋体"/>
        <family val="3"/>
        <charset val="134"/>
      </rPr>
      <t>的性能好。</t>
    </r>
    <phoneticPr fontId="7" type="noConversion"/>
  </si>
  <si>
    <t>20180314</t>
    <phoneticPr fontId="1" type="noConversion"/>
  </si>
  <si>
    <r>
      <rPr>
        <sz val="12"/>
        <color theme="1"/>
        <rFont val="宋体"/>
        <family val="3"/>
        <charset val="134"/>
        <scheme val="minor"/>
      </rPr>
      <t xml:space="preserve">1、Scan CMU                                                                      CCO mode下RMS jitter最小在REG_CP[2:0]=111，REG_SR[2:0]=111， REG_SC=0时；                                                  VCO mode下RMS jitter最小在REG_CP[2:0]=111，REG_SR[2:0]=001， REG_SC=0时。  </t>
    </r>
    <r>
      <rPr>
        <sz val="11"/>
        <color theme="1"/>
        <rFont val="宋体"/>
        <family val="2"/>
        <scheme val="minor"/>
      </rPr>
      <t xml:space="preserve">                                              </t>
    </r>
    <phoneticPr fontId="1" type="noConversion"/>
  </si>
  <si>
    <t>Page 0</t>
    <phoneticPr fontId="1" type="noConversion"/>
  </si>
  <si>
    <t>Page 1</t>
    <phoneticPr fontId="1" type="noConversion"/>
  </si>
  <si>
    <t>Addr</t>
    <phoneticPr fontId="1" type="noConversion"/>
  </si>
  <si>
    <t>value</t>
    <phoneticPr fontId="1" type="noConversion"/>
  </si>
  <si>
    <t>0xE0</t>
    <phoneticPr fontId="1" type="noConversion"/>
  </si>
  <si>
    <t>0xE1</t>
  </si>
  <si>
    <t>0xE2</t>
  </si>
  <si>
    <t>0xE3</t>
  </si>
  <si>
    <t>0xE4</t>
  </si>
  <si>
    <t>0xE5</t>
  </si>
  <si>
    <t>0xE6</t>
  </si>
  <si>
    <t>0xE7</t>
  </si>
  <si>
    <t>0xF0</t>
    <phoneticPr fontId="1" type="noConversion"/>
  </si>
  <si>
    <t>0xF1</t>
  </si>
  <si>
    <t>0xF2</t>
  </si>
  <si>
    <t>0xF3</t>
  </si>
  <si>
    <t>0xF4</t>
  </si>
  <si>
    <t>0xF5</t>
  </si>
  <si>
    <t>0xF6</t>
  </si>
  <si>
    <t>0xF7</t>
  </si>
  <si>
    <t>0x6B</t>
    <phoneticPr fontId="1" type="noConversion"/>
  </si>
  <si>
    <t>0xC1</t>
    <phoneticPr fontId="1" type="noConversion"/>
  </si>
  <si>
    <t>0x22</t>
    <phoneticPr fontId="1" type="noConversion"/>
  </si>
  <si>
    <t>0xDD</t>
    <phoneticPr fontId="1" type="noConversion"/>
  </si>
  <si>
    <t>0x53</t>
    <phoneticPr fontId="1" type="noConversion"/>
  </si>
  <si>
    <t>0x99</t>
    <phoneticPr fontId="1" type="noConversion"/>
  </si>
  <si>
    <t>0x86</t>
    <phoneticPr fontId="1" type="noConversion"/>
  </si>
  <si>
    <t>0x01</t>
    <phoneticPr fontId="1" type="noConversion"/>
  </si>
  <si>
    <t>0xFC</t>
    <phoneticPr fontId="1" type="noConversion"/>
  </si>
  <si>
    <t>0x8C</t>
    <phoneticPr fontId="1" type="noConversion"/>
  </si>
  <si>
    <t>0x00</t>
    <phoneticPr fontId="1" type="noConversion"/>
  </si>
  <si>
    <t>0x11</t>
    <phoneticPr fontId="1" type="noConversion"/>
  </si>
  <si>
    <t>0x9B</t>
    <phoneticPr fontId="1" type="noConversion"/>
  </si>
  <si>
    <t>0x15</t>
    <phoneticPr fontId="1" type="noConversion"/>
  </si>
  <si>
    <t>0x02</t>
    <phoneticPr fontId="1" type="noConversion"/>
  </si>
  <si>
    <t>0x51</t>
    <phoneticPr fontId="1" type="noConversion"/>
  </si>
  <si>
    <t>0x8F</t>
    <phoneticPr fontId="1" type="noConversion"/>
  </si>
  <si>
    <t>0x10</t>
    <phoneticPr fontId="1" type="noConversion"/>
  </si>
  <si>
    <t>0x16</t>
    <phoneticPr fontId="1" type="noConversion"/>
  </si>
  <si>
    <t>0x40</t>
    <phoneticPr fontId="1" type="noConversion"/>
  </si>
  <si>
    <t>读写register方式（UART读写）</t>
    <phoneticPr fontId="1" type="noConversion"/>
  </si>
  <si>
    <t>示波器设置：without CDR；Sample rate：5G；Memory Depth：1M</t>
    <phoneticPr fontId="1" type="noConversion"/>
  </si>
  <si>
    <t>000</t>
    <phoneticPr fontId="1" type="noConversion"/>
  </si>
  <si>
    <t>001</t>
    <phoneticPr fontId="1" type="noConversion"/>
  </si>
  <si>
    <t>010</t>
    <phoneticPr fontId="1" type="noConversion"/>
  </si>
  <si>
    <t>011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</si>
  <si>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</si>
  <si>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</si>
  <si>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</si>
  <si>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</si>
  <si>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t>0xE2[7:5]</t>
    <phoneticPr fontId="1" type="noConversion"/>
  </si>
  <si>
    <t>Icp/uA</t>
    <phoneticPr fontId="1" type="noConversion"/>
  </si>
  <si>
    <t>RMS Jitter_without_cap/ps</t>
    <phoneticPr fontId="1" type="noConversion"/>
  </si>
  <si>
    <t>SRC[2:0]=011 &amp; SC=0</t>
    <phoneticPr fontId="1" type="noConversion"/>
  </si>
  <si>
    <t>Scan Icp 打test packet</t>
    <phoneticPr fontId="1" type="noConversion"/>
  </si>
  <si>
    <t>20180315</t>
    <phoneticPr fontId="1" type="noConversion"/>
  </si>
  <si>
    <t>0.25</t>
    <phoneticPr fontId="1" type="noConversion"/>
  </si>
  <si>
    <t>1、固定SR=110，SC=0，Scan Icp（打test packet）。                                         2、根据1得到的结果选择REG_CP=011，SR=110，SC=0，Scan REG_SRC=000，001，010，011下swing为0.4v及max时的eye。确定REG_SH=1001。</t>
    <phoneticPr fontId="1" type="noConversion"/>
  </si>
  <si>
    <t>0xE5[7:4]</t>
    <phoneticPr fontId="1" type="noConversion"/>
  </si>
  <si>
    <t>0000</t>
    <phoneticPr fontId="1" type="noConversion"/>
  </si>
  <si>
    <t>0001</t>
    <phoneticPr fontId="1" type="noConversion"/>
  </si>
  <si>
    <t>0010</t>
    <phoneticPr fontId="1" type="noConversion"/>
  </si>
  <si>
    <t>0011</t>
    <phoneticPr fontId="1" type="noConversion"/>
  </si>
  <si>
    <t>0100</t>
    <phoneticPr fontId="1" type="noConversion"/>
  </si>
  <si>
    <t>0101</t>
    <phoneticPr fontId="1" type="noConversion"/>
  </si>
  <si>
    <t>0110</t>
    <phoneticPr fontId="1" type="noConversion"/>
  </si>
  <si>
    <t>0111</t>
    <phoneticPr fontId="1" type="noConversion"/>
  </si>
  <si>
    <t>1000</t>
    <phoneticPr fontId="1" type="noConversion"/>
  </si>
  <si>
    <t>1001</t>
    <phoneticPr fontId="1" type="noConversion"/>
  </si>
  <si>
    <t>1010</t>
    <phoneticPr fontId="1" type="noConversion"/>
  </si>
  <si>
    <t>1011</t>
    <phoneticPr fontId="1" type="noConversion"/>
  </si>
  <si>
    <t>1100</t>
    <phoneticPr fontId="1" type="noConversion"/>
  </si>
  <si>
    <t>1101</t>
    <phoneticPr fontId="1" type="noConversion"/>
  </si>
  <si>
    <t>1110</t>
    <phoneticPr fontId="1" type="noConversion"/>
  </si>
  <si>
    <t>1111</t>
    <phoneticPr fontId="1" type="noConversion"/>
  </si>
  <si>
    <t>DP</t>
    <phoneticPr fontId="1" type="noConversion"/>
  </si>
  <si>
    <t>DM</t>
    <phoneticPr fontId="1" type="noConversion"/>
  </si>
  <si>
    <t>default</t>
    <phoneticPr fontId="1" type="noConversion"/>
  </si>
  <si>
    <t>F2下8’B1001_0100</t>
  </si>
  <si>
    <t>F3下8’B1011_1011</t>
  </si>
  <si>
    <t>DP外灌电压，DM接地/DP接地，DM外灌电压</t>
    <phoneticPr fontId="1" type="noConversion"/>
  </si>
  <si>
    <t>Squelch level</t>
    <phoneticPr fontId="1" type="noConversion"/>
  </si>
  <si>
    <t>DP和DM外灌電壓，读B6[0](NSQ)</t>
    <phoneticPr fontId="1" type="noConversion"/>
  </si>
  <si>
    <t>All Corners</t>
  </si>
  <si>
    <t>3.3 +/- 10%</t>
    <phoneticPr fontId="4" type="noConversion"/>
  </si>
  <si>
    <t>1.1 +/- 10%</t>
    <phoneticPr fontId="4" type="noConversion"/>
  </si>
  <si>
    <t>BER=0@1sec</t>
    <phoneticPr fontId="4" type="noConversion"/>
  </si>
  <si>
    <r>
      <rPr>
        <sz val="12"/>
        <rFont val="微軟正黑體"/>
        <family val="2"/>
        <charset val="136"/>
      </rPr>
      <t>進行</t>
    </r>
    <r>
      <rPr>
        <sz val="12"/>
        <rFont val="Arial"/>
        <family val="2"/>
      </rPr>
      <t>TX/RX Self-loopback Test</t>
    </r>
    <phoneticPr fontId="4" type="noConversion"/>
  </si>
  <si>
    <t>Mac Loopback</t>
    <phoneticPr fontId="4" type="noConversion"/>
  </si>
  <si>
    <t>Pass</t>
  </si>
  <si>
    <t>Yes</t>
  </si>
  <si>
    <t>FT Test</t>
    <phoneticPr fontId="4" type="noConversion"/>
  </si>
  <si>
    <t>360 ~ 440mV,diff,pp</t>
    <phoneticPr fontId="17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</si>
  <si>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Test J/K</t>
    </r>
    <r>
      <rPr>
        <sz val="12"/>
        <rFont val="微軟正黑體"/>
        <family val="2"/>
        <charset val="136"/>
      </rPr>
      <t>值</t>
    </r>
    <phoneticPr fontId="17" type="noConversion"/>
  </si>
  <si>
    <t>TX Test J/K.</t>
    <phoneticPr fontId="17" type="noConversion"/>
  </si>
  <si>
    <t>CP Test</t>
    <phoneticPr fontId="4" type="noConversion"/>
  </si>
  <si>
    <t>TT</t>
    <phoneticPr fontId="17" type="noConversion"/>
  </si>
  <si>
    <t>-10, 25, 125</t>
    <phoneticPr fontId="4" type="noConversion"/>
  </si>
  <si>
    <t>100 ~ 200mV,diff,pp</t>
    <phoneticPr fontId="17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</si>
  <si>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Device mode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Squelch Level</t>
    </r>
    <phoneticPr fontId="17" type="noConversion"/>
  </si>
  <si>
    <t>Squelch Level</t>
    <phoneticPr fontId="17" type="noConversion"/>
  </si>
  <si>
    <t>560 ~ 680mV,diff,pp</t>
    <phoneticPr fontId="17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</si>
  <si>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Host mode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Disconnect Level</t>
    </r>
    <phoneticPr fontId="17" type="noConversion"/>
  </si>
  <si>
    <t>Disconnect Level</t>
    <phoneticPr fontId="17" type="noConversion"/>
  </si>
  <si>
    <t>JTol floor &gt;= 0.2UI</t>
    <phoneticPr fontId="4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</si>
  <si>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RX JTol Floor</t>
    </r>
    <phoneticPr fontId="17" type="noConversion"/>
  </si>
  <si>
    <t>RX JTOL</t>
    <phoneticPr fontId="4" type="noConversion"/>
  </si>
  <si>
    <r>
      <rPr>
        <sz val="12"/>
        <rFont val="微軟正黑體"/>
        <family val="2"/>
        <charset val="136"/>
      </rPr>
      <t>符合</t>
    </r>
    <r>
      <rPr>
        <sz val="12"/>
        <rFont val="Arial"/>
        <family val="2"/>
      </rPr>
      <t>USB 2.0 CTS</t>
    </r>
    <r>
      <rPr>
        <sz val="12"/>
        <rFont val="微軟正黑體"/>
        <family val="2"/>
        <charset val="136"/>
      </rPr>
      <t>規格</t>
    </r>
    <phoneticPr fontId="4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</si>
  <si>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TX Eye-diagram</t>
    </r>
    <phoneticPr fontId="17" type="noConversion"/>
  </si>
  <si>
    <t xml:space="preserve">TX Eye-mask </t>
    <phoneticPr fontId="4" type="noConversion"/>
  </si>
  <si>
    <t>PreMP</t>
    <phoneticPr fontId="17" type="noConversion"/>
  </si>
  <si>
    <t>MP Test</t>
    <phoneticPr fontId="17" type="noConversion"/>
  </si>
  <si>
    <r>
      <rPr>
        <sz val="12"/>
        <color indexed="8"/>
        <rFont val="微軟正黑體"/>
        <family val="2"/>
        <charset val="136"/>
      </rPr>
      <t>附上</t>
    </r>
    <r>
      <rPr>
        <sz val="12"/>
        <color indexed="8"/>
        <rFont val="Arial"/>
        <family val="2"/>
      </rPr>
      <t xml:space="preserve"> CTS Report </t>
    </r>
    <r>
      <rPr>
        <sz val="12"/>
        <color indexed="8"/>
        <rFont val="微軟正黑體"/>
        <family val="2"/>
        <charset val="136"/>
      </rPr>
      <t>的</t>
    </r>
    <r>
      <rPr>
        <sz val="12"/>
        <color indexed="8"/>
        <rFont val="Arial"/>
        <family val="2"/>
      </rPr>
      <t xml:space="preserve"> SVN Link.</t>
    </r>
    <phoneticPr fontId="17" type="noConversion"/>
  </si>
  <si>
    <r>
      <rPr>
        <sz val="12"/>
        <rFont val="微軟正黑體"/>
        <family val="2"/>
        <charset val="136"/>
      </rPr>
      <t>測試</t>
    </r>
    <r>
      <rPr>
        <sz val="12"/>
        <rFont val="Arial"/>
        <family val="2"/>
      </rPr>
      <t>USB2.0 Compliance Test</t>
    </r>
    <phoneticPr fontId="17" type="noConversion"/>
  </si>
  <si>
    <t>Electrical Test</t>
    <phoneticPr fontId="17" type="noConversion"/>
  </si>
  <si>
    <t>Compliance Test</t>
    <phoneticPr fontId="17" type="noConversion"/>
  </si>
  <si>
    <t>CTS Test</t>
    <phoneticPr fontId="17" type="noConversion"/>
  </si>
  <si>
    <r>
      <rPr>
        <sz val="12"/>
        <color indexed="8"/>
        <rFont val="微軟正黑體"/>
        <family val="2"/>
        <charset val="136"/>
      </rPr>
      <t>附上</t>
    </r>
    <r>
      <rPr>
        <sz val="12"/>
        <color indexed="8"/>
        <rFont val="Arial"/>
        <family val="2"/>
      </rPr>
      <t>Power Consumption</t>
    </r>
    <r>
      <rPr>
        <sz val="12"/>
        <color indexed="8"/>
        <rFont val="微軟正黑體"/>
        <family val="2"/>
        <charset val="136"/>
      </rPr>
      <t>的量測結果。</t>
    </r>
    <phoneticPr fontId="17" type="noConversion"/>
  </si>
  <si>
    <r>
      <rPr>
        <sz val="12"/>
        <rFont val="微軟正黑體"/>
        <family val="2"/>
        <charset val="136"/>
      </rPr>
      <t>量測各</t>
    </r>
    <r>
      <rPr>
        <b/>
        <sz val="12"/>
        <rFont val="微軟正黑體"/>
        <family val="2"/>
        <charset val="136"/>
      </rPr>
      <t>個</t>
    </r>
    <r>
      <rPr>
        <sz val="12"/>
        <rFont val="Arial"/>
        <family val="2"/>
      </rPr>
      <t>power state</t>
    </r>
    <r>
      <rPr>
        <sz val="12"/>
        <rFont val="微軟正黑體"/>
        <family val="2"/>
        <charset val="136"/>
      </rPr>
      <t>下的</t>
    </r>
    <r>
      <rPr>
        <sz val="12"/>
        <rFont val="Arial"/>
        <family val="2"/>
      </rPr>
      <t>APHY power consumption</t>
    </r>
    <r>
      <rPr>
        <sz val="12"/>
        <rFont val="微軟正黑體"/>
        <family val="2"/>
        <charset val="136"/>
      </rPr>
      <t>，並確認高低溫高低壓是否正常。</t>
    </r>
    <phoneticPr fontId="4" type="noConversion"/>
  </si>
  <si>
    <t>Power Consumption</t>
    <phoneticPr fontId="4" type="noConversion"/>
  </si>
  <si>
    <t>Info only</t>
  </si>
  <si>
    <t>TOP</t>
    <phoneticPr fontId="4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</si>
  <si>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Device mode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 xml:space="preserve">Squelch Level
1. </t>
    </r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Squelch Level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Auto Calibraton</t>
    </r>
    <r>
      <rPr>
        <sz val="12"/>
        <rFont val="微軟正黑體"/>
        <family val="2"/>
        <charset val="136"/>
      </rPr>
      <t xml:space="preserve">結果。
</t>
    </r>
    <r>
      <rPr>
        <sz val="12"/>
        <rFont val="Arial"/>
        <family val="2"/>
      </rPr>
      <t xml:space="preserve">2. </t>
    </r>
    <r>
      <rPr>
        <sz val="12"/>
        <rFont val="微軟正黑體"/>
        <family val="2"/>
        <charset val="136"/>
      </rPr>
      <t>以手動模式掃描</t>
    </r>
    <r>
      <rPr>
        <sz val="12"/>
        <rFont val="Arial"/>
        <family val="2"/>
      </rPr>
      <t>Squelch Level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Control code</t>
    </r>
    <r>
      <rPr>
        <sz val="12"/>
        <rFont val="微軟正黑體"/>
        <family val="2"/>
        <charset val="136"/>
      </rPr>
      <t>與</t>
    </r>
    <r>
      <rPr>
        <sz val="12"/>
        <rFont val="Arial"/>
        <family val="2"/>
      </rPr>
      <t>Sensitivity</t>
    </r>
    <r>
      <rPr>
        <sz val="12"/>
        <rFont val="微軟正黑體"/>
        <family val="2"/>
        <charset val="136"/>
      </rPr>
      <t>的關係，並且確認</t>
    </r>
    <r>
      <rPr>
        <sz val="12"/>
        <rFont val="Arial"/>
        <family val="2"/>
      </rPr>
      <t>Auto-K</t>
    </r>
    <r>
      <rPr>
        <sz val="12"/>
        <rFont val="微軟正黑體"/>
        <family val="2"/>
        <charset val="136"/>
      </rPr>
      <t>的結果是否為目標值。</t>
    </r>
    <phoneticPr fontId="17" type="noConversion"/>
  </si>
  <si>
    <t>No</t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</si>
  <si>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Host mode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 xml:space="preserve">Disconnect Level.
1. </t>
    </r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Disconnect Level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Auto Calibraton</t>
    </r>
    <r>
      <rPr>
        <sz val="12"/>
        <rFont val="微軟正黑體"/>
        <family val="2"/>
        <charset val="136"/>
      </rPr>
      <t xml:space="preserve">結果。
</t>
    </r>
    <r>
      <rPr>
        <sz val="12"/>
        <rFont val="Arial"/>
        <family val="2"/>
      </rPr>
      <t xml:space="preserve">2. </t>
    </r>
    <r>
      <rPr>
        <sz val="12"/>
        <rFont val="微軟正黑體"/>
        <family val="2"/>
        <charset val="136"/>
      </rPr>
      <t>以手動模式掃描</t>
    </r>
    <r>
      <rPr>
        <sz val="12"/>
        <rFont val="Arial"/>
        <family val="2"/>
      </rPr>
      <t>Disconnect Level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Control code</t>
    </r>
    <r>
      <rPr>
        <sz val="12"/>
        <rFont val="微軟正黑體"/>
        <family val="2"/>
        <charset val="136"/>
      </rPr>
      <t>與</t>
    </r>
    <r>
      <rPr>
        <sz val="12"/>
        <rFont val="Arial"/>
        <family val="2"/>
      </rPr>
      <t>Sensitivity</t>
    </r>
    <r>
      <rPr>
        <sz val="12"/>
        <rFont val="微軟正黑體"/>
        <family val="2"/>
        <charset val="136"/>
      </rPr>
      <t>的關係，並且確認</t>
    </r>
    <r>
      <rPr>
        <sz val="12"/>
        <rFont val="Arial"/>
        <family val="2"/>
      </rPr>
      <t>Auto-K</t>
    </r>
    <r>
      <rPr>
        <sz val="12"/>
        <rFont val="微軟正黑體"/>
        <family val="2"/>
        <charset val="136"/>
      </rPr>
      <t>的結果是否為目標值。</t>
    </r>
    <phoneticPr fontId="17" type="noConversion"/>
  </si>
  <si>
    <t>Pass</t>
    <phoneticPr fontId="1" type="noConversion"/>
  </si>
  <si>
    <r>
      <rPr>
        <sz val="12"/>
        <color indexed="8"/>
        <rFont val="微軟正黑體"/>
        <family val="2"/>
        <charset val="136"/>
      </rPr>
      <t>附上</t>
    </r>
    <r>
      <rPr>
        <sz val="12"/>
        <color indexed="8"/>
        <rFont val="Arial"/>
        <family val="2"/>
      </rPr>
      <t>Testing Report</t>
    </r>
    <r>
      <rPr>
        <sz val="12"/>
        <color indexed="8"/>
        <rFont val="微軟正黑體"/>
        <family val="2"/>
        <charset val="136"/>
      </rPr>
      <t>的</t>
    </r>
    <r>
      <rPr>
        <sz val="12"/>
        <color indexed="8"/>
        <rFont val="Arial"/>
        <family val="2"/>
      </rPr>
      <t>SVN Link.</t>
    </r>
    <phoneticPr fontId="17" type="noConversion"/>
  </si>
  <si>
    <r>
      <rPr>
        <sz val="12"/>
        <rFont val="微軟正黑體"/>
        <family val="2"/>
        <charset val="136"/>
      </rPr>
      <t>測試不同線長時所對應的最佳</t>
    </r>
    <r>
      <rPr>
        <sz val="12"/>
        <rFont val="Arial"/>
        <family val="2"/>
      </rPr>
      <t>RX Booost Gain</t>
    </r>
    <r>
      <rPr>
        <sz val="12"/>
        <rFont val="微軟正黑體"/>
        <family val="2"/>
        <charset val="136"/>
      </rPr>
      <t>以及</t>
    </r>
    <r>
      <rPr>
        <sz val="12"/>
        <rFont val="Arial"/>
        <family val="2"/>
      </rPr>
      <t xml:space="preserve"> RX JTol.
1. Long Channel (5m)
2. Short Channel (10cm)</t>
    </r>
    <phoneticPr fontId="4" type="noConversion"/>
  </si>
  <si>
    <t>Scan RX Boost and RX JTol</t>
    <phoneticPr fontId="4" type="noConversion"/>
  </si>
  <si>
    <t>RX</t>
    <phoneticPr fontId="17" type="noConversion"/>
  </si>
  <si>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Test J/K</t>
    </r>
    <r>
      <rPr>
        <sz val="12"/>
        <rFont val="微軟正黑體"/>
        <family val="2"/>
        <charset val="136"/>
      </rPr>
      <t>值。</t>
    </r>
    <phoneticPr fontId="17" type="noConversion"/>
  </si>
  <si>
    <r>
      <rPr>
        <sz val="12"/>
        <rFont val="微軟正黑體"/>
        <family val="2"/>
        <charset val="136"/>
      </rPr>
      <t>確認</t>
    </r>
    <r>
      <rPr>
        <sz val="12"/>
        <rFont val="Arial"/>
        <family val="2"/>
      </rPr>
      <t>Eye Mask</t>
    </r>
    <r>
      <rPr>
        <sz val="12"/>
        <rFont val="微軟正黑體"/>
        <family val="2"/>
        <charset val="136"/>
      </rPr>
      <t>測試</t>
    </r>
    <r>
      <rPr>
        <sz val="12"/>
        <rFont val="Arial"/>
        <family val="2"/>
      </rPr>
      <t>25</t>
    </r>
    <r>
      <rPr>
        <sz val="12"/>
        <rFont val="微軟正黑體"/>
        <family val="2"/>
        <charset val="136"/>
      </rPr>
      <t>次均可</t>
    </r>
    <r>
      <rPr>
        <sz val="12"/>
        <rFont val="Arial"/>
        <family val="2"/>
      </rPr>
      <t>Pass.</t>
    </r>
    <phoneticPr fontId="4" type="noConversion"/>
  </si>
  <si>
    <t>Yes</t>
    <phoneticPr fontId="17" type="noConversion"/>
  </si>
  <si>
    <t>Single-ended = 45 +/- 5ohm.</t>
    <phoneticPr fontId="4" type="noConversion"/>
  </si>
  <si>
    <r>
      <t xml:space="preserve">1. </t>
    </r>
    <r>
      <rPr>
        <sz val="12"/>
        <rFont val="微軟正黑體"/>
        <family val="2"/>
        <charset val="136"/>
      </rPr>
      <t>量測</t>
    </r>
    <r>
      <rPr>
        <sz val="12"/>
        <rFont val="Arial"/>
        <family val="2"/>
      </rPr>
      <t>TX Termination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Auto Calibraton</t>
    </r>
    <r>
      <rPr>
        <sz val="12"/>
        <rFont val="微軟正黑體"/>
        <family val="2"/>
        <charset val="136"/>
      </rPr>
      <t>結果是否落在</t>
    </r>
    <r>
      <rPr>
        <sz val="12"/>
        <rFont val="Arial"/>
        <family val="2"/>
      </rPr>
      <t>spec</t>
    </r>
    <r>
      <rPr>
        <sz val="12"/>
        <rFont val="微軟正黑體"/>
        <family val="2"/>
        <charset val="136"/>
      </rPr>
      <t xml:space="preserve">内。
</t>
    </r>
    <r>
      <rPr>
        <sz val="12"/>
        <rFont val="Arial"/>
        <family val="2"/>
      </rPr>
      <t xml:space="preserve">2. </t>
    </r>
    <r>
      <rPr>
        <sz val="12"/>
        <rFont val="微軟正黑體"/>
        <family val="2"/>
        <charset val="136"/>
      </rPr>
      <t>以手動模式掃描</t>
    </r>
    <r>
      <rPr>
        <sz val="12"/>
        <rFont val="Arial"/>
        <family val="2"/>
      </rPr>
      <t>Z0</t>
    </r>
    <r>
      <rPr>
        <sz val="12"/>
        <rFont val="微軟正黑體"/>
        <family val="2"/>
        <charset val="136"/>
      </rPr>
      <t>的</t>
    </r>
    <r>
      <rPr>
        <sz val="12"/>
        <rFont val="Arial"/>
        <family val="2"/>
      </rPr>
      <t>Control code</t>
    </r>
    <r>
      <rPr>
        <sz val="12"/>
        <rFont val="微軟正黑體"/>
        <family val="2"/>
        <charset val="136"/>
      </rPr>
      <t>與阻值的關係，並且確認</t>
    </r>
    <r>
      <rPr>
        <sz val="12"/>
        <rFont val="Arial"/>
        <family val="2"/>
      </rPr>
      <t>Auto-K</t>
    </r>
    <r>
      <rPr>
        <sz val="12"/>
        <rFont val="微軟正黑體"/>
        <family val="2"/>
        <charset val="136"/>
      </rPr>
      <t>的結果是否為最佳值。</t>
    </r>
    <phoneticPr fontId="4" type="noConversion"/>
  </si>
  <si>
    <t>Terminatioin</t>
    <phoneticPr fontId="4" type="noConversion"/>
  </si>
  <si>
    <t>RREG_CMU_PI_I[1:0]
REG_CMU_ICP[1:0]
REG_CMU_PI_C[1]</t>
    <phoneticPr fontId="4" type="noConversion"/>
  </si>
  <si>
    <r>
      <rPr>
        <sz val="12"/>
        <rFont val="微軟正黑體"/>
        <family val="2"/>
        <charset val="136"/>
      </rPr>
      <t>掃描</t>
    </r>
    <r>
      <rPr>
        <sz val="12"/>
        <rFont val="Arial"/>
        <family val="2"/>
      </rPr>
      <t>CMU</t>
    </r>
    <r>
      <rPr>
        <sz val="12"/>
        <rFont val="微軟正黑體"/>
        <family val="2"/>
        <charset val="136"/>
      </rPr>
      <t>的參數，對</t>
    </r>
    <r>
      <rPr>
        <sz val="12"/>
        <rFont val="Arial"/>
        <family val="2"/>
      </rPr>
      <t>CMU Jitter</t>
    </r>
    <r>
      <rPr>
        <sz val="12"/>
        <rFont val="微軟正黑體"/>
        <family val="2"/>
        <charset val="136"/>
      </rPr>
      <t>進行最佳化。</t>
    </r>
    <phoneticPr fontId="4" type="noConversion"/>
  </si>
  <si>
    <t>Scan TX CMU</t>
    <phoneticPr fontId="4" type="noConversion"/>
  </si>
  <si>
    <t>TX &amp; CMU</t>
    <phoneticPr fontId="4" type="noConversion"/>
  </si>
  <si>
    <t>Functional Test</t>
    <phoneticPr fontId="17" type="noConversion"/>
  </si>
  <si>
    <t>Remark</t>
    <phoneticPr fontId="4" type="noConversion"/>
  </si>
  <si>
    <t>Corner
Wafer</t>
    <phoneticPr fontId="4" type="noConversion"/>
  </si>
  <si>
    <t>Chip. Qty.</t>
    <phoneticPr fontId="17" type="noConversion"/>
  </si>
  <si>
    <t>Temp.</t>
    <phoneticPr fontId="4" type="noConversion"/>
  </si>
  <si>
    <t>IO Supply Voltage</t>
    <phoneticPr fontId="4" type="noConversion"/>
  </si>
  <si>
    <t>Core Supply
Voltage</t>
    <phoneticPr fontId="4" type="noConversion"/>
  </si>
  <si>
    <t>Specification</t>
    <phoneticPr fontId="4" type="noConversion"/>
  </si>
  <si>
    <t>Related Parameters
(by AIC)</t>
    <phoneticPr fontId="17" type="noConversion"/>
  </si>
  <si>
    <t>Description</t>
    <phoneticPr fontId="4" type="noConversion"/>
  </si>
  <si>
    <t>Verification Item</t>
    <phoneticPr fontId="4" type="noConversion"/>
  </si>
  <si>
    <t>Verification Result
(by SD)</t>
    <phoneticPr fontId="4" type="noConversion"/>
  </si>
  <si>
    <t>Test Requirement
(by AIC)</t>
    <phoneticPr fontId="17" type="noConversion"/>
  </si>
  <si>
    <t>No.</t>
    <phoneticPr fontId="4" type="noConversion"/>
  </si>
  <si>
    <t>IP / Function</t>
    <phoneticPr fontId="4" type="noConversion"/>
  </si>
  <si>
    <t>Testing Stage</t>
    <phoneticPr fontId="4" type="noConversion"/>
  </si>
  <si>
    <t>Finish</t>
    <phoneticPr fontId="1" type="noConversion"/>
  </si>
  <si>
    <r>
      <t>OK</t>
    </r>
    <r>
      <rPr>
        <sz val="12"/>
        <color rgb="FF0000FF"/>
        <rFont val="宋体"/>
        <family val="3"/>
        <charset val="134"/>
      </rPr>
      <t>（量两颗）</t>
    </r>
    <phoneticPr fontId="1" type="noConversion"/>
  </si>
  <si>
    <t>OK</t>
    <phoneticPr fontId="1" type="noConversion"/>
  </si>
  <si>
    <t>DP</t>
    <phoneticPr fontId="1" type="noConversion"/>
  </si>
  <si>
    <t>DM</t>
    <phoneticPr fontId="1" type="noConversion"/>
  </si>
  <si>
    <t>#1 squelch level/V</t>
    <phoneticPr fontId="1" type="noConversion"/>
  </si>
  <si>
    <t>#2 squelch level/V</t>
    <phoneticPr fontId="1" type="noConversion"/>
  </si>
  <si>
    <t>#3 squelch level/V</t>
    <phoneticPr fontId="1" type="noConversion"/>
  </si>
  <si>
    <t>#1</t>
    <phoneticPr fontId="1" type="noConversion"/>
  </si>
  <si>
    <t>Test J</t>
    <phoneticPr fontId="1" type="noConversion"/>
  </si>
  <si>
    <t>Test K</t>
    <phoneticPr fontId="1" type="noConversion"/>
  </si>
  <si>
    <t>384.2mV</t>
    <phoneticPr fontId="1" type="noConversion"/>
  </si>
  <si>
    <t>387.5mV</t>
    <phoneticPr fontId="1" type="noConversion"/>
  </si>
  <si>
    <t>#2</t>
    <phoneticPr fontId="1" type="noConversion"/>
  </si>
  <si>
    <t>385.6mV</t>
    <phoneticPr fontId="1" type="noConversion"/>
  </si>
  <si>
    <t>382.3mV</t>
    <phoneticPr fontId="1" type="noConversion"/>
  </si>
  <si>
    <t>390.5mV</t>
    <phoneticPr fontId="1" type="noConversion"/>
  </si>
  <si>
    <t>393.7mV</t>
    <phoneticPr fontId="1" type="noConversion"/>
  </si>
  <si>
    <t>#3</t>
    <phoneticPr fontId="1" type="noConversion"/>
  </si>
  <si>
    <t>AUTOK</t>
    <phoneticPr fontId="1" type="noConversion"/>
  </si>
  <si>
    <t>0010</t>
    <phoneticPr fontId="1" type="noConversion"/>
  </si>
  <si>
    <t>0100</t>
    <phoneticPr fontId="1" type="noConversion"/>
  </si>
  <si>
    <t>1001</t>
    <phoneticPr fontId="1" type="noConversion"/>
  </si>
  <si>
    <t>1010</t>
    <phoneticPr fontId="1" type="noConversion"/>
  </si>
  <si>
    <t>1101</t>
    <phoneticPr fontId="1" type="noConversion"/>
  </si>
  <si>
    <t>1111</t>
    <phoneticPr fontId="1" type="noConversion"/>
  </si>
  <si>
    <t>DP/DM由短cable连接治具后，由治具SMA连接到示波器channel1和channel3</t>
    <phoneticPr fontId="1" type="noConversion"/>
  </si>
  <si>
    <t>0xE1=0x81（VCO mode）；</t>
  </si>
  <si>
    <t>0xE2=0x62（REG_CP=011&amp;REG_SC=0）；</t>
  </si>
  <si>
    <t>0xE7=0x41（REG_SRC=010）；</t>
  </si>
  <si>
    <t>0xE0/page1=0x91（REG_SH=1001）；</t>
    <phoneticPr fontId="1" type="noConversion"/>
  </si>
  <si>
    <t>后续测试选择参数：</t>
    <phoneticPr fontId="1" type="noConversion"/>
  </si>
  <si>
    <t>0xE6=0x86(REG_SR=110)</t>
  </si>
  <si>
    <t>Device打SE0，将50ohm的标准电阻一端连接power supply，一端连DP/DM上，并用万用表测量标准电阻的电压，计算得到DP/DM的阻抗。</t>
    <phoneticPr fontId="1" type="noConversion"/>
  </si>
  <si>
    <r>
      <t>VDD=0.8V，R=50</t>
    </r>
    <r>
      <rPr>
        <b/>
        <sz val="11"/>
        <color theme="1"/>
        <rFont val="宋体"/>
        <family val="3"/>
        <charset val="134"/>
      </rPr>
      <t>Ω</t>
    </r>
    <phoneticPr fontId="1" type="noConversion"/>
  </si>
  <si>
    <r>
      <t>OK</t>
    </r>
    <r>
      <rPr>
        <sz val="12"/>
        <color rgb="FF0000FF"/>
        <rFont val="宋体"/>
        <family val="3"/>
        <charset val="134"/>
      </rPr>
      <t>（使用</t>
    </r>
    <r>
      <rPr>
        <sz val="12"/>
        <color rgb="FF0000FF"/>
        <rFont val="Arial"/>
        <family val="2"/>
      </rPr>
      <t>VCO mode</t>
    </r>
    <r>
      <rPr>
        <sz val="12"/>
        <color rgb="FF0000FF"/>
        <rFont val="宋体"/>
        <family val="3"/>
        <charset val="134"/>
      </rPr>
      <t>）</t>
    </r>
    <phoneticPr fontId="17" type="noConversion"/>
  </si>
  <si>
    <r>
      <t>OK</t>
    </r>
    <r>
      <rPr>
        <sz val="12"/>
        <color rgb="FF0000FF"/>
        <rFont val="宋体"/>
        <family val="3"/>
        <charset val="134"/>
      </rPr>
      <t/>
    </r>
    <phoneticPr fontId="1" type="noConversion"/>
  </si>
  <si>
    <r>
      <t>OK(</t>
    </r>
    <r>
      <rPr>
        <sz val="12"/>
        <color rgb="FF0000FF"/>
        <rFont val="宋体"/>
        <family val="3"/>
        <charset val="134"/>
      </rPr>
      <t>无</t>
    </r>
    <r>
      <rPr>
        <sz val="12"/>
        <color rgb="FF0000FF"/>
        <rFont val="Arial"/>
        <family val="2"/>
      </rPr>
      <t>5m</t>
    </r>
    <r>
      <rPr>
        <sz val="12"/>
        <color rgb="FF0000FF"/>
        <rFont val="宋体"/>
        <family val="3"/>
        <charset val="134"/>
      </rPr>
      <t>的</t>
    </r>
    <r>
      <rPr>
        <sz val="12"/>
        <color rgb="FF0000FF"/>
        <rFont val="Arial"/>
        <family val="2"/>
      </rPr>
      <t>cable</t>
    </r>
    <r>
      <rPr>
        <sz val="12"/>
        <color rgb="FF0000FF"/>
        <rFont val="宋体"/>
        <family val="3"/>
        <charset val="134"/>
      </rPr>
      <t>，最长只有</t>
    </r>
    <r>
      <rPr>
        <sz val="12"/>
        <color rgb="FF0000FF"/>
        <rFont val="Arial"/>
        <family val="2"/>
      </rPr>
      <t>1m)</t>
    </r>
    <phoneticPr fontId="1" type="noConversion"/>
  </si>
  <si>
    <t>20180316</t>
    <phoneticPr fontId="1" type="noConversion"/>
  </si>
  <si>
    <t>0.25</t>
    <phoneticPr fontId="1" type="noConversion"/>
  </si>
  <si>
    <t>20180319</t>
    <phoneticPr fontId="1" type="noConversion"/>
  </si>
  <si>
    <t>1</t>
    <phoneticPr fontId="1" type="noConversion"/>
  </si>
  <si>
    <t>1、测试一颗IC的CTS,结果pass。                                   2、测试一颗IC manual mode下的squelch level。结果ok。</t>
    <phoneticPr fontId="1" type="noConversion"/>
  </si>
  <si>
    <t>1、测试两颗IC的CTS。           2、测试三颗IC的testJ/K。                           3、测试两颗IC的25次eye mask                             4、测试两颗IC AUTOK下的squelch level，结果ok。                               5、测试一颗IC在manual mode下的term，两颗IC autok下的term。                                6、扫一颗IC在不同RX BOOST下的JTOL。                                   结果pass。</t>
    <phoneticPr fontId="1" type="noConversion"/>
  </si>
  <si>
    <t>Summary of Results</t>
  </si>
  <si>
    <t>Margin Thresholds</t>
  </si>
  <si>
    <t>Warning</t>
  </si>
  <si>
    <t>&lt; 2 %</t>
  </si>
  <si>
    <t>Critical</t>
  </si>
  <si>
    <t>&lt; 0 %</t>
  </si>
  <si>
    <t># Failed</t>
  </si>
  <si>
    <t># Trials</t>
  </si>
  <si>
    <t>Test Name</t>
  </si>
  <si>
    <t>Actual Value</t>
  </si>
  <si>
    <t>Margin</t>
  </si>
  <si>
    <t>Spec Range</t>
  </si>
  <si>
    <t>EL_2 EL_4 EL_5 Data Eye and Mask Test</t>
  </si>
  <si>
    <t>Pass/Fail</t>
  </si>
  <si>
    <t>EL_6 Device Rise Time</t>
  </si>
  <si>
    <t>EL_6 Device Fall Time</t>
  </si>
  <si>
    <t>EL_7 Device Non-Monotonic Edge Test</t>
  </si>
  <si>
    <t>EL_21 Device Sync Field Length Test</t>
  </si>
  <si>
    <t>64.599 ns</t>
  </si>
  <si>
    <t>63.610 ns &lt;= VALUE &lt;= 65.610 ns</t>
  </si>
  <si>
    <t>EL_25 Device EOP Length Test</t>
  </si>
  <si>
    <t>16.946 ns</t>
  </si>
  <si>
    <t>15.600 ns &lt;= VALUE &lt;= 17.700 ns</t>
  </si>
  <si>
    <t>EL_22 Measure Interpacket Gap Between Second and Third Packets</t>
  </si>
  <si>
    <t>291.905 ns</t>
  </si>
  <si>
    <t>16.640 ns &lt;= VALUE &lt;= 399.400 ns</t>
  </si>
  <si>
    <t>EL_22 Measure Interpacket Gap Between First and Second Packets</t>
  </si>
  <si>
    <t>264.107 ns</t>
  </si>
  <si>
    <t>EL_28 Measure Device CHIRP-K Latency</t>
  </si>
  <si>
    <t>5.324 µs</t>
  </si>
  <si>
    <t>2.500 µs &lt;= VALUE &lt;= 6.000000 ms</t>
  </si>
  <si>
    <t>EL_29 Measure Device CHIRP-K Duration</t>
  </si>
  <si>
    <t>2.000 ms</t>
  </si>
  <si>
    <t>1.000 ms &lt;= VALUE &lt;= 7.000 ms</t>
  </si>
  <si>
    <t>EL_31 Device Hi-Speed Terminations Enable and D+ Disconnect Time</t>
  </si>
  <si>
    <t>2.704 µs</t>
  </si>
  <si>
    <t>10 ns &lt;= VALUE &lt;= 500.000 µs</t>
  </si>
  <si>
    <t>EL_38 EL_39 Device Suspend Timing Response</t>
  </si>
  <si>
    <t>3.065 ms</t>
  </si>
  <si>
    <t>3.000 ms &lt;= VALUE &lt;= 3.125 ms</t>
  </si>
  <si>
    <t>EL_40 Device Resume Timing Response</t>
  </si>
  <si>
    <t>EL_27 Device CHIRP Response to Reset from Hi-Speed Operation</t>
  </si>
  <si>
    <t>3.563 ms</t>
  </si>
  <si>
    <t>3.100 ms &lt;= VALUE &lt;= 6.000 ms</t>
  </si>
  <si>
    <t>EL_28 Device CHIRP Response to Reset from Suspend</t>
  </si>
  <si>
    <t>5.235 µs</t>
  </si>
  <si>
    <t xml:space="preserve">EL_8 Device J Test </t>
  </si>
  <si>
    <t xml:space="preserve">EL_8 Device K Test </t>
  </si>
  <si>
    <t xml:space="preserve">EL_9 Device SE0_NAK Test </t>
  </si>
  <si>
    <t>EL_18 Receiver sensitivity Test - Minimum SYNC Field</t>
  </si>
  <si>
    <t>EL_17 Receiver sensitivity Test</t>
  </si>
  <si>
    <t>188.420 mV</t>
  </si>
  <si>
    <t>VALUE &lt;= 200.000 mV</t>
  </si>
  <si>
    <t>EL_16 Receiver sensitivity Test @ Squelch</t>
  </si>
  <si>
    <t>162.920 mV</t>
  </si>
  <si>
    <t>VALUE &gt;= 100.000 mV</t>
  </si>
  <si>
    <t>177.180 mV</t>
  </si>
  <si>
    <t>142.361 mV</t>
  </si>
  <si>
    <t>5.303 µs</t>
  </si>
  <si>
    <t>2.746 µs</t>
  </si>
  <si>
    <t>5.185 µs</t>
  </si>
  <si>
    <t>64.606 ns</t>
  </si>
  <si>
    <t>16.936 ns</t>
  </si>
  <si>
    <t>271.975 ns</t>
  </si>
  <si>
    <t>240.045 ns</t>
  </si>
  <si>
    <t>64.601 ns</t>
  </si>
  <si>
    <t>16.868 ns</t>
  </si>
  <si>
    <t>277.044 ns</t>
  </si>
  <si>
    <t>251.009 ns</t>
  </si>
  <si>
    <t>5.293 µs</t>
  </si>
  <si>
    <t>2.739 µs</t>
  </si>
  <si>
    <t>3.064 ms</t>
  </si>
  <si>
    <t>5.228 µs</t>
  </si>
  <si>
    <t>177.560 mV</t>
  </si>
  <si>
    <t>144.680 mV</t>
  </si>
  <si>
    <t>RX Boost&amp;RX JTOL</t>
    <phoneticPr fontId="1" type="noConversion"/>
  </si>
  <si>
    <t>81134A设置jitter上限0.288UI（即AWG Amp最大输入为2.4Vpp）</t>
    <phoneticPr fontId="1" type="noConversion"/>
  </si>
  <si>
    <t>0xF1=0x94；</t>
    <phoneticPr fontId="1" type="noConversion"/>
  </si>
  <si>
    <t>0xF2=0x94；</t>
    <phoneticPr fontId="1" type="noConversion"/>
  </si>
  <si>
    <t>0xF6=0x08；</t>
    <phoneticPr fontId="1" type="noConversion"/>
  </si>
  <si>
    <t>read 0xB6[6],0xB6[5]</t>
    <phoneticPr fontId="1" type="noConversion"/>
  </si>
  <si>
    <t>10cm cable</t>
    <phoneticPr fontId="1" type="noConversion"/>
  </si>
  <si>
    <t>00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</si>
  <si>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</si>
  <si>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</si>
  <si>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</si>
  <si>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1m cable</t>
    <phoneticPr fontId="1" type="noConversion"/>
  </si>
  <si>
    <t xml:space="preserve">RX BOOST    0xE4[3:2]    </t>
    <phoneticPr fontId="1" type="noConversion"/>
  </si>
  <si>
    <t>1MHz</t>
    <phoneticPr fontId="1" type="noConversion"/>
  </si>
  <si>
    <t>5MHz</t>
    <phoneticPr fontId="1" type="noConversion"/>
  </si>
  <si>
    <t>20MHz</t>
    <phoneticPr fontId="1" type="noConversion"/>
  </si>
  <si>
    <t>50MHz</t>
    <phoneticPr fontId="1" type="noConversion"/>
  </si>
  <si>
    <t>80MHz</t>
    <phoneticPr fontId="1" type="noConversion"/>
  </si>
  <si>
    <t>#2</t>
    <phoneticPr fontId="1" type="noConversion"/>
  </si>
  <si>
    <t>Consecutive RMS Jitter (ps)</t>
    <phoneticPr fontId="4" type="noConversion"/>
  </si>
  <si>
    <t>Eye Mask Pass/Fail</t>
    <phoneticPr fontId="4" type="noConversion"/>
  </si>
  <si>
    <t>PASS</t>
    <phoneticPr fontId="7" type="noConversion"/>
  </si>
  <si>
    <t>AVERAGE</t>
    <phoneticPr fontId="7" type="noConversion"/>
  </si>
  <si>
    <t>RL6470</t>
    <phoneticPr fontId="4" type="noConversion"/>
  </si>
  <si>
    <t>REG_AUTOK:0xE0[3]</t>
    <phoneticPr fontId="1" type="noConversion"/>
  </si>
  <si>
    <t>REG_ADJR:0xE0[7:4]</t>
    <phoneticPr fontId="1" type="noConversion"/>
  </si>
  <si>
    <t>DP_R/ohm</t>
    <phoneticPr fontId="1" type="noConversion"/>
  </si>
  <si>
    <t>DM_R/ohm</t>
    <phoneticPr fontId="1" type="noConversion"/>
  </si>
  <si>
    <t>DP_V/V</t>
    <phoneticPr fontId="1" type="noConversion"/>
  </si>
  <si>
    <t>DM_V/V</t>
    <phoneticPr fontId="1" type="noConversion"/>
  </si>
  <si>
    <t>RMS Jitter_with_cap/ps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</si>
</sst>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3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9"/>
      <name val="新細明體"/>
      <family val="1"/>
      <charset val="136"/>
    </font>
    <font>
      <sz val="10"/>
      <name val="Arial"/>
      <family val="2"/>
    </font>
    <font>
      <sz val="12"/>
      <color theme="1"/>
      <name val="宋体"/>
      <family val="1"/>
      <charset val="136"/>
      <scheme val="minor"/>
    </font>
    <font>
      <sz val="9"/>
      <name val="宋体"/>
      <family val="3"/>
      <charset val="136"/>
      <scheme val="minor"/>
    </font>
    <font>
      <sz val="12"/>
      <name val="宋体"/>
      <family val="3"/>
      <charset val="134"/>
    </font>
    <font>
      <sz val="12"/>
      <name val="Arial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name val="微軟正黑體"/>
      <family val="2"/>
      <charset val="136"/>
    </font>
    <font>
      <sz val="12"/>
      <color rgb="FF0000FF"/>
      <name val="Arial"/>
      <family val="2"/>
    </font>
    <font>
      <sz val="9"/>
      <name val="宋体"/>
      <family val="1"/>
      <charset val="136"/>
      <scheme val="minor"/>
    </font>
    <font>
      <sz val="12"/>
      <color indexed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9" tint="-0.249977111117893"/>
      <name val="Arial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12"/>
      <color rgb="FF0000FF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宋体"/>
      <family val="2"/>
      <scheme val="minor"/>
    </font>
    <font>
      <b/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rgb="FFFF0000"/>
      <name val="宋体"/>
      <family val="2"/>
      <scheme val="minor"/>
    </font>
    <font>
      <sz val="12"/>
      <color rgb="FFFF0000"/>
      <name val="宋体"/>
      <family val="1"/>
      <charset val="136"/>
      <scheme val="minor"/>
    </font>
    <font>
      <sz val="11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AAAAAA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 applyNumberForma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0" borderId="0" xfId="0" applyFill="1"/>
    <xf numFmtId="49" fontId="3" fillId="0" borderId="2" xfId="1" applyNumberFormat="1" applyFont="1" applyFill="1" applyBorder="1" applyAlignment="1">
      <alignment horizontal="left" vertical="top"/>
    </xf>
    <xf numFmtId="49" fontId="5" fillId="3" borderId="2" xfId="1" applyNumberFormat="1" applyFont="1" applyFill="1" applyBorder="1" applyAlignment="1">
      <alignment horizontal="left" vertical="top"/>
    </xf>
    <xf numFmtId="49" fontId="3" fillId="0" borderId="4" xfId="1" applyNumberFormat="1" applyFont="1" applyFill="1" applyBorder="1" applyAlignment="1">
      <alignment horizontal="left" vertical="top"/>
    </xf>
    <xf numFmtId="49" fontId="5" fillId="3" borderId="4" xfId="1" applyNumberFormat="1" applyFont="1" applyFill="1" applyBorder="1" applyAlignment="1">
      <alignment horizontal="center" vertical="top"/>
    </xf>
    <xf numFmtId="49" fontId="3" fillId="3" borderId="4" xfId="1" applyNumberFormat="1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49" fontId="0" fillId="0" borderId="4" xfId="0" applyNumberFormat="1" applyBorder="1" applyAlignment="1">
      <alignment vertical="top" wrapText="1"/>
    </xf>
    <xf numFmtId="0" fontId="0" fillId="0" borderId="4" xfId="0" applyBorder="1"/>
    <xf numFmtId="0" fontId="0" fillId="2" borderId="4" xfId="0" applyFill="1" applyBorder="1"/>
    <xf numFmtId="49" fontId="0" fillId="0" borderId="0" xfId="0" applyNumberFormat="1"/>
    <xf numFmtId="0" fontId="12" fillId="0" borderId="0" xfId="0" applyFont="1"/>
    <xf numFmtId="49" fontId="0" fillId="0" borderId="4" xfId="0" applyNumberFormat="1" applyBorder="1"/>
    <xf numFmtId="0" fontId="0" fillId="0" borderId="13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2" borderId="4" xfId="0" applyNumberFormat="1" applyFill="1" applyBorder="1"/>
    <xf numFmtId="0" fontId="14" fillId="0" borderId="4" xfId="2" applyFont="1" applyBorder="1" applyAlignment="1">
      <alignment horizontal="left" vertical="center" wrapText="1"/>
    </xf>
    <xf numFmtId="0" fontId="9" fillId="0" borderId="4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4" fillId="0" borderId="4" xfId="2" applyFont="1" applyBorder="1" applyAlignment="1">
      <alignment vertical="center" wrapText="1"/>
    </xf>
    <xf numFmtId="0" fontId="9" fillId="0" borderId="4" xfId="2" applyFont="1" applyBorder="1" applyAlignment="1">
      <alignment vertical="center" wrapText="1"/>
    </xf>
    <xf numFmtId="0" fontId="14" fillId="0" borderId="4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 wrapText="1"/>
    </xf>
    <xf numFmtId="0" fontId="14" fillId="5" borderId="4" xfId="2" applyFont="1" applyFill="1" applyBorder="1" applyAlignment="1">
      <alignment horizontal="center" vertical="center" wrapText="1"/>
    </xf>
    <xf numFmtId="49" fontId="9" fillId="0" borderId="4" xfId="2" applyNumberFormat="1" applyFont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left" vertical="center" wrapText="1"/>
    </xf>
    <xf numFmtId="0" fontId="14" fillId="6" borderId="4" xfId="2" applyFont="1" applyFill="1" applyBorder="1" applyAlignment="1">
      <alignment horizontal="center" vertical="center" wrapText="1"/>
    </xf>
    <xf numFmtId="0" fontId="13" fillId="6" borderId="4" xfId="2" applyFont="1" applyFill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 wrapText="1"/>
    </xf>
    <xf numFmtId="0" fontId="14" fillId="2" borderId="4" xfId="2" applyFont="1" applyFill="1" applyBorder="1" applyAlignment="1">
      <alignment horizontal="center" vertical="center" wrapText="1"/>
    </xf>
    <xf numFmtId="0" fontId="14" fillId="0" borderId="4" xfId="3" applyFont="1" applyBorder="1" applyAlignment="1">
      <alignment vertical="center" wrapText="1"/>
    </xf>
    <xf numFmtId="0" fontId="14" fillId="8" borderId="4" xfId="3" applyFont="1" applyFill="1" applyBorder="1" applyAlignment="1">
      <alignment horizontal="center" vertical="center" wrapText="1"/>
    </xf>
    <xf numFmtId="0" fontId="14" fillId="8" borderId="4" xfId="2" applyFont="1" applyFill="1" applyBorder="1" applyAlignment="1">
      <alignment horizontal="center" vertical="center" wrapText="1"/>
    </xf>
    <xf numFmtId="0" fontId="20" fillId="0" borderId="4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17" xfId="0" applyFont="1" applyBorder="1" applyAlignment="1">
      <alignment vertical="center" wrapText="1"/>
    </xf>
    <xf numFmtId="0" fontId="13" fillId="0" borderId="0" xfId="0" applyFont="1"/>
    <xf numFmtId="0" fontId="28" fillId="9" borderId="17" xfId="0" applyFont="1" applyFill="1" applyBorder="1" applyAlignment="1">
      <alignment vertical="center" wrapText="1"/>
    </xf>
    <xf numFmtId="0" fontId="29" fillId="0" borderId="17" xfId="4" applyBorder="1" applyAlignment="1">
      <alignment vertical="center" wrapText="1"/>
    </xf>
    <xf numFmtId="10" fontId="27" fillId="0" borderId="17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wrapText="1"/>
    </xf>
    <xf numFmtId="0" fontId="0" fillId="0" borderId="4" xfId="0" applyFill="1" applyBorder="1"/>
    <xf numFmtId="49" fontId="0" fillId="0" borderId="13" xfId="0" applyNumberFormat="1" applyBorder="1"/>
    <xf numFmtId="49" fontId="0" fillId="0" borderId="20" xfId="0" applyNumberFormat="1" applyBorder="1"/>
    <xf numFmtId="0" fontId="0" fillId="0" borderId="20" xfId="0" applyBorder="1"/>
    <xf numFmtId="0" fontId="5" fillId="0" borderId="4" xfId="0" applyFont="1" applyBorder="1"/>
    <xf numFmtId="0" fontId="30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176" fontId="31" fillId="0" borderId="4" xfId="0" applyNumberFormat="1" applyFont="1" applyBorder="1"/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/>
    <xf numFmtId="176" fontId="34" fillId="0" borderId="4" xfId="0" applyNumberFormat="1" applyFont="1" applyBorder="1"/>
    <xf numFmtId="0" fontId="5" fillId="0" borderId="4" xfId="0" applyFont="1" applyBorder="1" applyAlignment="1">
      <alignment horizontal="center" vertical="center"/>
    </xf>
    <xf numFmtId="49" fontId="0" fillId="0" borderId="4" xfId="0" applyNumberFormat="1" applyFill="1" applyBorder="1"/>
    <xf numFmtId="0" fontId="0" fillId="2" borderId="20" xfId="0" applyFill="1" applyBorder="1"/>
    <xf numFmtId="0" fontId="35" fillId="0" borderId="0" xfId="0" applyFont="1"/>
    <xf numFmtId="0" fontId="35" fillId="2" borderId="0" xfId="0" applyFont="1" applyFill="1"/>
    <xf numFmtId="49" fontId="3" fillId="0" borderId="1" xfId="1" applyNumberFormat="1" applyFont="1" applyFill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7" fillId="0" borderId="18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</cellXfs>
  <cellStyles count="5">
    <cellStyle name="常规" xfId="0" builtinId="0"/>
    <cellStyle name="常规 2" xfId="2"/>
    <cellStyle name="超链接" xfId="4" builtinId="8"/>
    <cellStyle name="一般 2" xfId="3"/>
    <cellStyle name="一般_RLE07298B Test" xfId="1"/>
  </cellStyles>
  <dxfs count="34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VCO</a:t>
            </a:r>
            <a:r>
              <a:rPr lang="en-US" altLang="zh-CN" baseline="0"/>
              <a:t> Mode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SR=5k&amp;SC=0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CMU'!$F$16:$F$23</c:f>
              <c:numCache>
                <c:formatCode>General</c:formatCode>
                <c:ptCount val="8"/>
                <c:pt idx="0">
                  <c:v>108.90900000000001</c:v>
                </c:pt>
                <c:pt idx="1">
                  <c:v>60.448799999999999</c:v>
                </c:pt>
                <c:pt idx="2">
                  <c:v>49.34</c:v>
                </c:pt>
                <c:pt idx="3">
                  <c:v>44.496600000000001</c:v>
                </c:pt>
                <c:pt idx="4">
                  <c:v>42.204700000000003</c:v>
                </c:pt>
                <c:pt idx="5">
                  <c:v>40.880200000000002</c:v>
                </c:pt>
                <c:pt idx="6">
                  <c:v>40.779499999999999</c:v>
                </c:pt>
                <c:pt idx="7">
                  <c:v>39.535400000000003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2-4D3B-A4BD-9CF992515719}"/>
            </c:ext>
          </c:extLst>
        </c:ser>
        <c:ser>
          <c:idx val="1"/>
          <c:order val="1"/>
          <c:tx>
            <c:v>SR=9k&amp;SC=0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CMU'!$F$24:$F$31</c:f>
              <c:numCache>
                <c:formatCode>General</c:formatCode>
                <c:ptCount val="8"/>
                <c:pt idx="0">
                  <c:v>96.452699999999993</c:v>
                </c:pt>
                <c:pt idx="1">
                  <c:v>57.177</c:v>
                </c:pt>
                <c:pt idx="2">
                  <c:v>47.988700000000001</c:v>
                </c:pt>
                <c:pt idx="3">
                  <c:v>43.712800000000001</c:v>
                </c:pt>
                <c:pt idx="4">
                  <c:v>41.911200000000001</c:v>
                </c:pt>
                <c:pt idx="5">
                  <c:v>41.075299999999999</c:v>
                </c:pt>
                <c:pt idx="6">
                  <c:v>39.880800000000001</c:v>
                </c:pt>
                <c:pt idx="7">
                  <c:v>39.481900000000003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2-4D3B-A4BD-9CF992515719}"/>
            </c:ext>
          </c:extLst>
        </c:ser>
        <c:ser>
          <c:idx val="2"/>
          <c:order val="2"/>
          <c:tx>
            <c:v>SR=15k&amp;SC=0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CMU'!$F$32:$F$39</c:f>
              <c:numCache>
                <c:formatCode>General</c:formatCode>
                <c:ptCount val="8"/>
                <c:pt idx="0">
                  <c:v>81.493700000000004</c:v>
                </c:pt>
                <c:pt idx="1">
                  <c:v>53.579000000000001</c:v>
                </c:pt>
                <c:pt idx="2">
                  <c:v>46.279699999999998</c:v>
                </c:pt>
                <c:pt idx="3">
                  <c:v>43.624200000000002</c:v>
                </c:pt>
                <c:pt idx="4">
                  <c:v>41.688800000000001</c:v>
                </c:pt>
                <c:pt idx="5">
                  <c:v>40.465499999999999</c:v>
                </c:pt>
                <c:pt idx="6">
                  <c:v>40.688099999999999</c:v>
                </c:pt>
                <c:pt idx="7">
                  <c:v>40.464300000000001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2-4D3B-A4BD-9CF992515719}"/>
            </c:ext>
          </c:extLst>
        </c:ser>
        <c:ser>
          <c:idx val="3"/>
          <c:order val="3"/>
          <c:tx>
            <c:v>SR=20k&amp;SC=0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CMU'!$F$40:$F$47</c:f>
              <c:numCache>
                <c:formatCode>General</c:formatCode>
                <c:ptCount val="8"/>
                <c:pt idx="0">
                  <c:v>74.350800000000007</c:v>
                </c:pt>
                <c:pt idx="1">
                  <c:v>51.263500000000001</c:v>
                </c:pt>
                <c:pt idx="2">
                  <c:v>44.792900000000003</c:v>
                </c:pt>
                <c:pt idx="3">
                  <c:v>42.8782</c:v>
                </c:pt>
                <c:pt idx="4">
                  <c:v>41.109900000000003</c:v>
                </c:pt>
                <c:pt idx="5">
                  <c:v>41.034799999999997</c:v>
                </c:pt>
                <c:pt idx="6">
                  <c:v>40.5</c:v>
                </c:pt>
                <c:pt idx="7">
                  <c:v>40.877800000000001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02-4D3B-A4BD-9CF992515719}"/>
            </c:ext>
          </c:extLst>
        </c:ser>
        <c:ser>
          <c:idx val="4"/>
          <c:order val="4"/>
          <c:tx>
            <c:v>SR=23k&amp;SC=0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CMU'!$F$48:$F$55</c:f>
              <c:numCache>
                <c:formatCode>General</c:formatCode>
                <c:ptCount val="8"/>
                <c:pt idx="0">
                  <c:v>71.759500000000003</c:v>
                </c:pt>
                <c:pt idx="1">
                  <c:v>49.403799999999997</c:v>
                </c:pt>
                <c:pt idx="2">
                  <c:v>44.951300000000003</c:v>
                </c:pt>
                <c:pt idx="3">
                  <c:v>42.773499999999999</c:v>
                </c:pt>
                <c:pt idx="4">
                  <c:v>41.296500000000002</c:v>
                </c:pt>
                <c:pt idx="5">
                  <c:v>40.703800000000001</c:v>
                </c:pt>
                <c:pt idx="6">
                  <c:v>40.232100000000003</c:v>
                </c:pt>
                <c:pt idx="7">
                  <c:v>40.264099999999999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02-4D3B-A4BD-9CF992515719}"/>
            </c:ext>
          </c:extLst>
        </c:ser>
        <c:ser>
          <c:idx val="5"/>
          <c:order val="5"/>
          <c:tx>
            <c:v>SR=25k&amp;SC=0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CMU'!$F$56:$F$63</c:f>
              <c:numCache>
                <c:formatCode>General</c:formatCode>
                <c:ptCount val="8"/>
                <c:pt idx="0">
                  <c:v>67.366900000000001</c:v>
                </c:pt>
                <c:pt idx="1">
                  <c:v>49.5428</c:v>
                </c:pt>
                <c:pt idx="2">
                  <c:v>44.873600000000003</c:v>
                </c:pt>
                <c:pt idx="3">
                  <c:v>42.6952</c:v>
                </c:pt>
                <c:pt idx="4">
                  <c:v>41.2532</c:v>
                </c:pt>
                <c:pt idx="5">
                  <c:v>40.597799999999999</c:v>
                </c:pt>
                <c:pt idx="6">
                  <c:v>40.624099999999999</c:v>
                </c:pt>
                <c:pt idx="7">
                  <c:v>40.4711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02-4D3B-A4BD-9CF992515719}"/>
            </c:ext>
          </c:extLst>
        </c:ser>
        <c:ser>
          <c:idx val="6"/>
          <c:order val="6"/>
          <c:tx>
            <c:v>SR=27k&amp;SC=0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CMU'!$F$64:$F$71</c:f>
              <c:numCache>
                <c:formatCode>General</c:formatCode>
                <c:ptCount val="8"/>
                <c:pt idx="0">
                  <c:v>65.730900000000005</c:v>
                </c:pt>
                <c:pt idx="1">
                  <c:v>49.554499999999997</c:v>
                </c:pt>
                <c:pt idx="2">
                  <c:v>44.270299999999999</c:v>
                </c:pt>
                <c:pt idx="3">
                  <c:v>42.797199999999997</c:v>
                </c:pt>
                <c:pt idx="4">
                  <c:v>41.281300000000002</c:v>
                </c:pt>
                <c:pt idx="5">
                  <c:v>41.091099999999997</c:v>
                </c:pt>
                <c:pt idx="6">
                  <c:v>40.9236</c:v>
                </c:pt>
                <c:pt idx="7">
                  <c:v>41.218699999999998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02-4D3B-A4BD-9CF992515719}"/>
            </c:ext>
          </c:extLst>
        </c:ser>
        <c:ser>
          <c:idx val="7"/>
          <c:order val="7"/>
          <c:tx>
            <c:v>SR=30k&amp;SC=0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CMU'!$F$72:$F$79</c:f>
              <c:numCache>
                <c:formatCode>General</c:formatCode>
                <c:ptCount val="8"/>
                <c:pt idx="0">
                  <c:v>64.9285</c:v>
                </c:pt>
                <c:pt idx="1">
                  <c:v>48.0563</c:v>
                </c:pt>
                <c:pt idx="2">
                  <c:v>43.919400000000003</c:v>
                </c:pt>
                <c:pt idx="3">
                  <c:v>41.693100000000001</c:v>
                </c:pt>
                <c:pt idx="4">
                  <c:v>41.115099999999998</c:v>
                </c:pt>
                <c:pt idx="5">
                  <c:v>40.264099999999999</c:v>
                </c:pt>
                <c:pt idx="6">
                  <c:v>40.594900000000003</c:v>
                </c:pt>
                <c:pt idx="7">
                  <c:v>40.433300000000003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02-4D3B-A4BD-9CF992515719}"/>
            </c:ext>
          </c:extLst>
        </c:ser>
        <c:ser>
          <c:idx val="8"/>
          <c:order val="8"/>
          <c:tx>
            <c:v>SR=5k&amp;SC=1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CMU'!$F$80:$F$87</c:f>
              <c:numCache>
                <c:formatCode>General</c:formatCode>
                <c:ptCount val="8"/>
                <c:pt idx="0">
                  <c:v>115.396</c:v>
                </c:pt>
                <c:pt idx="1">
                  <c:v>62.551099999999998</c:v>
                </c:pt>
                <c:pt idx="2">
                  <c:v>50.406500000000001</c:v>
                </c:pt>
                <c:pt idx="3">
                  <c:v>45.840499999999999</c:v>
                </c:pt>
                <c:pt idx="4">
                  <c:v>42.897300000000001</c:v>
                </c:pt>
                <c:pt idx="5">
                  <c:v>42.100999999999999</c:v>
                </c:pt>
                <c:pt idx="6">
                  <c:v>41.228299999999997</c:v>
                </c:pt>
                <c:pt idx="7">
                  <c:v>40.734099999999998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02-4D3B-A4BD-9CF992515719}"/>
            </c:ext>
          </c:extLst>
        </c:ser>
        <c:ser>
          <c:idx val="9"/>
          <c:order val="9"/>
          <c:tx>
            <c:v>SR=9k&amp;SC=1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CMU'!$F$88:$F$95</c:f>
              <c:numCache>
                <c:formatCode>General</c:formatCode>
                <c:ptCount val="8"/>
                <c:pt idx="0">
                  <c:v>100.79900000000001</c:v>
                </c:pt>
                <c:pt idx="1">
                  <c:v>59.374200000000002</c:v>
                </c:pt>
                <c:pt idx="2">
                  <c:v>49.1524</c:v>
                </c:pt>
                <c:pt idx="3">
                  <c:v>44.606299999999997</c:v>
                </c:pt>
                <c:pt idx="4">
                  <c:v>42.552500000000002</c:v>
                </c:pt>
                <c:pt idx="5">
                  <c:v>41.185000000000002</c:v>
                </c:pt>
                <c:pt idx="6">
                  <c:v>40.928199999999997</c:v>
                </c:pt>
                <c:pt idx="7">
                  <c:v>40.336399999999998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02-4D3B-A4BD-9CF992515719}"/>
            </c:ext>
          </c:extLst>
        </c:ser>
        <c:ser>
          <c:idx val="10"/>
          <c:order val="10"/>
          <c:tx>
            <c:v>SR=15k&amp;SC=1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CMU'!$F$96:$F$103</c:f>
              <c:numCache>
                <c:formatCode>General</c:formatCode>
                <c:ptCount val="8"/>
                <c:pt idx="0">
                  <c:v>86.118099999999998</c:v>
                </c:pt>
                <c:pt idx="1">
                  <c:v>55.488</c:v>
                </c:pt>
                <c:pt idx="2">
                  <c:v>47.329500000000003</c:v>
                </c:pt>
                <c:pt idx="3">
                  <c:v>44.326999999999998</c:v>
                </c:pt>
                <c:pt idx="4">
                  <c:v>41.975999999999999</c:v>
                </c:pt>
                <c:pt idx="5">
                  <c:v>40.805399999999999</c:v>
                </c:pt>
                <c:pt idx="6">
                  <c:v>40.435099999999998</c:v>
                </c:pt>
                <c:pt idx="7">
                  <c:v>40.059399999999997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02-4D3B-A4BD-9CF992515719}"/>
            </c:ext>
          </c:extLst>
        </c:ser>
        <c:ser>
          <c:idx val="11"/>
          <c:order val="11"/>
          <c:tx>
            <c:v>SR=20k&amp;SC=1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CMU'!$F$104:$F$111</c:f>
              <c:numCache>
                <c:formatCode>General</c:formatCode>
                <c:ptCount val="8"/>
                <c:pt idx="0">
                  <c:v>77.302300000000002</c:v>
                </c:pt>
                <c:pt idx="1">
                  <c:v>52.207799999999999</c:v>
                </c:pt>
                <c:pt idx="2">
                  <c:v>46.863199999999999</c:v>
                </c:pt>
                <c:pt idx="3">
                  <c:v>43.359299999999998</c:v>
                </c:pt>
                <c:pt idx="4">
                  <c:v>41.700600000000001</c:v>
                </c:pt>
                <c:pt idx="5">
                  <c:v>41.222799999999999</c:v>
                </c:pt>
                <c:pt idx="6">
                  <c:v>40.564300000000003</c:v>
                </c:pt>
                <c:pt idx="7">
                  <c:v>39.947800000000001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02-4D3B-A4BD-9CF992515719}"/>
            </c:ext>
          </c:extLst>
        </c:ser>
        <c:ser>
          <c:idx val="12"/>
          <c:order val="12"/>
          <c:tx>
            <c:v>SR=23k&amp;SC=1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CMU'!$F$112:$F$119</c:f>
              <c:numCache>
                <c:formatCode>General</c:formatCode>
                <c:ptCount val="8"/>
                <c:pt idx="0">
                  <c:v>73.5518</c:v>
                </c:pt>
                <c:pt idx="1">
                  <c:v>50.960799999999999</c:v>
                </c:pt>
                <c:pt idx="2">
                  <c:v>46.04</c:v>
                </c:pt>
                <c:pt idx="3">
                  <c:v>43.3446</c:v>
                </c:pt>
                <c:pt idx="4">
                  <c:v>41.864800000000002</c:v>
                </c:pt>
                <c:pt idx="5">
                  <c:v>41.090499999999999</c:v>
                </c:pt>
                <c:pt idx="6">
                  <c:v>40.854100000000003</c:v>
                </c:pt>
                <c:pt idx="7">
                  <c:v>40.157600000000002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02-4D3B-A4BD-9CF992515719}"/>
            </c:ext>
          </c:extLst>
        </c:ser>
        <c:ser>
          <c:idx val="13"/>
          <c:order val="13"/>
          <c:tx>
            <c:v>SR=25k&amp;SC=1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CMU'!$F$120:$F$127</c:f>
              <c:numCache>
                <c:formatCode>General</c:formatCode>
                <c:ptCount val="8"/>
                <c:pt idx="0">
                  <c:v>71.651499999999999</c:v>
                </c:pt>
                <c:pt idx="1">
                  <c:v>51.6569</c:v>
                </c:pt>
                <c:pt idx="2">
                  <c:v>44.934399999999997</c:v>
                </c:pt>
                <c:pt idx="3">
                  <c:v>43.246499999999997</c:v>
                </c:pt>
                <c:pt idx="4">
                  <c:v>42.025300000000001</c:v>
                </c:pt>
                <c:pt idx="5">
                  <c:v>41.489600000000003</c:v>
                </c:pt>
                <c:pt idx="6">
                  <c:v>40.661000000000001</c:v>
                </c:pt>
                <c:pt idx="7">
                  <c:v>40.506900000000002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02-4D3B-A4BD-9CF992515719}"/>
            </c:ext>
          </c:extLst>
        </c:ser>
        <c:ser>
          <c:idx val="14"/>
          <c:order val="14"/>
          <c:tx>
            <c:v>SR=27k&amp;SC=1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CMU'!$F$128:$F$135</c:f>
              <c:numCache>
                <c:formatCode>General</c:formatCode>
                <c:ptCount val="8"/>
                <c:pt idx="0">
                  <c:v>69.6374</c:v>
                </c:pt>
                <c:pt idx="1">
                  <c:v>50.862099999999998</c:v>
                </c:pt>
                <c:pt idx="2">
                  <c:v>45.2926</c:v>
                </c:pt>
                <c:pt idx="3">
                  <c:v>43.353299999999997</c:v>
                </c:pt>
                <c:pt idx="4">
                  <c:v>41.61</c:v>
                </c:pt>
                <c:pt idx="5">
                  <c:v>41.177500000000002</c:v>
                </c:pt>
                <c:pt idx="6">
                  <c:v>40.814999999999998</c:v>
                </c:pt>
                <c:pt idx="7">
                  <c:v>40.243499999999997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02-4D3B-A4BD-9CF992515719}"/>
            </c:ext>
          </c:extLst>
        </c:ser>
        <c:ser>
          <c:idx val="15"/>
          <c:order val="15"/>
          <c:tx>
            <c:v>SR=30k&amp;SC=1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CMU'!$F$136:$F$143</c:f>
              <c:numCache>
                <c:formatCode>General</c:formatCode>
                <c:ptCount val="8"/>
                <c:pt idx="0">
                  <c:v>66.921999999999997</c:v>
                </c:pt>
                <c:pt idx="1">
                  <c:v>49.892099999999999</c:v>
                </c:pt>
                <c:pt idx="2">
                  <c:v>45.384900000000002</c:v>
                </c:pt>
                <c:pt idx="3">
                  <c:v>42.819200000000002</c:v>
                </c:pt>
                <c:pt idx="4">
                  <c:v>41.387700000000002</c:v>
                </c:pt>
                <c:pt idx="5">
                  <c:v>41.448700000000002</c:v>
                </c:pt>
                <c:pt idx="6">
                  <c:v>41.043399999999998</c:v>
                </c:pt>
                <c:pt idx="7">
                  <c:v>40.6905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02-4D3B-A4BD-9CF992515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408"/>
        <c:axId val="13920232"/>
      </c:lineChart>
      <c:catAx>
        <c:axId val="5894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Icp/uA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20232"/>
        <c:crosses val="autoZero"/>
        <c:auto val="1"/>
        <c:lblAlgn val="ctr"/>
        <c:lblOffset val="100"/>
        <c:noMultiLvlLbl val="0"/>
      </c:catAx>
      <c:valAx>
        <c:axId val="13920232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RMS Jitter/ps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9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CCO</a:t>
            </a:r>
            <a:r>
              <a:rPr lang="en-US" altLang="zh-CN" baseline="0"/>
              <a:t> Mode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SR=5k&amp;SC=0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CMU'!$AD$16:$AD$23</c:f>
              <c:numCache>
                <c:formatCode>General</c:formatCode>
                <c:ptCount val="8"/>
                <c:pt idx="0">
                  <c:v>618.41999999999996</c:v>
                </c:pt>
                <c:pt idx="1">
                  <c:v>553.99699999999996</c:v>
                </c:pt>
                <c:pt idx="2">
                  <c:v>668.64599999999996</c:v>
                </c:pt>
                <c:pt idx="3">
                  <c:v>565.93399999999997</c:v>
                </c:pt>
                <c:pt idx="4">
                  <c:v>541.87199999999996</c:v>
                </c:pt>
                <c:pt idx="5">
                  <c:v>440.40199999999999</c:v>
                </c:pt>
                <c:pt idx="6">
                  <c:v>372.06900000000002</c:v>
                </c:pt>
                <c:pt idx="7">
                  <c:v>320.60199999999998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6-4B7B-9B22-16182004AC76}"/>
            </c:ext>
          </c:extLst>
        </c:ser>
        <c:ser>
          <c:idx val="1"/>
          <c:order val="1"/>
          <c:tx>
            <c:v>SR=9k&amp;SC=0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CMU'!$AD$24:$AD$31</c:f>
              <c:numCache>
                <c:formatCode>General</c:formatCode>
                <c:ptCount val="8"/>
                <c:pt idx="0">
                  <c:v>594.66399999999999</c:v>
                </c:pt>
                <c:pt idx="1">
                  <c:v>559.95299999999997</c:v>
                </c:pt>
                <c:pt idx="2">
                  <c:v>693.577</c:v>
                </c:pt>
                <c:pt idx="3">
                  <c:v>599.78399999999999</c:v>
                </c:pt>
                <c:pt idx="4">
                  <c:v>463.07600000000002</c:v>
                </c:pt>
                <c:pt idx="5">
                  <c:v>379.54599999999999</c:v>
                </c:pt>
                <c:pt idx="6">
                  <c:v>323.13299999999998</c:v>
                </c:pt>
                <c:pt idx="7">
                  <c:v>278.51900000000001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6-4B7B-9B22-16182004AC76}"/>
            </c:ext>
          </c:extLst>
        </c:ser>
        <c:ser>
          <c:idx val="2"/>
          <c:order val="2"/>
          <c:tx>
            <c:v>SR=15k&amp;SC=0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CMU'!$AD$32:$AD$39</c:f>
              <c:numCache>
                <c:formatCode>General</c:formatCode>
                <c:ptCount val="8"/>
                <c:pt idx="0">
                  <c:v>610.65599999999995</c:v>
                </c:pt>
                <c:pt idx="1">
                  <c:v>661.88099999999997</c:v>
                </c:pt>
                <c:pt idx="2">
                  <c:v>661.17899999999997</c:v>
                </c:pt>
                <c:pt idx="3">
                  <c:v>488.83300000000003</c:v>
                </c:pt>
                <c:pt idx="4">
                  <c:v>381.83100000000002</c:v>
                </c:pt>
                <c:pt idx="5">
                  <c:v>317.55799999999999</c:v>
                </c:pt>
                <c:pt idx="6">
                  <c:v>271.512</c:v>
                </c:pt>
                <c:pt idx="7">
                  <c:v>233.755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E6-4B7B-9B22-16182004AC76}"/>
            </c:ext>
          </c:extLst>
        </c:ser>
        <c:ser>
          <c:idx val="3"/>
          <c:order val="3"/>
          <c:tx>
            <c:v>SR=20k&amp;SC=0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CMU'!$AD$40:$AD$47</c:f>
              <c:numCache>
                <c:formatCode>General</c:formatCode>
                <c:ptCount val="8"/>
                <c:pt idx="0">
                  <c:v>565.73900000000003</c:v>
                </c:pt>
                <c:pt idx="1">
                  <c:v>699.65700000000004</c:v>
                </c:pt>
                <c:pt idx="2">
                  <c:v>551.43600000000004</c:v>
                </c:pt>
                <c:pt idx="3">
                  <c:v>415.36399999999998</c:v>
                </c:pt>
                <c:pt idx="4">
                  <c:v>322.15800000000002</c:v>
                </c:pt>
                <c:pt idx="5">
                  <c:v>272.74400000000003</c:v>
                </c:pt>
                <c:pt idx="6">
                  <c:v>232.18100000000001</c:v>
                </c:pt>
                <c:pt idx="7">
                  <c:v>204.154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E6-4B7B-9B22-16182004AC76}"/>
            </c:ext>
          </c:extLst>
        </c:ser>
        <c:ser>
          <c:idx val="4"/>
          <c:order val="4"/>
          <c:tx>
            <c:v>SR=23k&amp;SC=0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CMU'!$AD$48:$AD$55</c:f>
              <c:numCache>
                <c:formatCode>General</c:formatCode>
                <c:ptCount val="8"/>
                <c:pt idx="0">
                  <c:v>540.68700000000001</c:v>
                </c:pt>
                <c:pt idx="1">
                  <c:v>695.98199999999997</c:v>
                </c:pt>
                <c:pt idx="2">
                  <c:v>508.25400000000002</c:v>
                </c:pt>
                <c:pt idx="3">
                  <c:v>383.53300000000002</c:v>
                </c:pt>
                <c:pt idx="4">
                  <c:v>303.28300000000002</c:v>
                </c:pt>
                <c:pt idx="5">
                  <c:v>251.20099999999999</c:v>
                </c:pt>
                <c:pt idx="6">
                  <c:v>217.12</c:v>
                </c:pt>
                <c:pt idx="7">
                  <c:v>190.435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E6-4B7B-9B22-16182004AC76}"/>
            </c:ext>
          </c:extLst>
        </c:ser>
        <c:ser>
          <c:idx val="5"/>
          <c:order val="5"/>
          <c:tx>
            <c:v>SR=25k&amp;SC=0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CMU'!$AD$56:$AD$63</c:f>
              <c:numCache>
                <c:formatCode>General</c:formatCode>
                <c:ptCount val="8"/>
                <c:pt idx="0">
                  <c:v>554.44600000000003</c:v>
                </c:pt>
                <c:pt idx="1">
                  <c:v>669.98500000000001</c:v>
                </c:pt>
                <c:pt idx="2">
                  <c:v>477.20699999999999</c:v>
                </c:pt>
                <c:pt idx="3">
                  <c:v>365.44099999999997</c:v>
                </c:pt>
                <c:pt idx="4">
                  <c:v>282.87200000000001</c:v>
                </c:pt>
                <c:pt idx="5">
                  <c:v>238.65700000000001</c:v>
                </c:pt>
                <c:pt idx="6">
                  <c:v>209.84</c:v>
                </c:pt>
                <c:pt idx="7">
                  <c:v>185.52699999999999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E6-4B7B-9B22-16182004AC76}"/>
            </c:ext>
          </c:extLst>
        </c:ser>
        <c:ser>
          <c:idx val="6"/>
          <c:order val="6"/>
          <c:tx>
            <c:v>SR=27k&amp;SC=0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CMU'!$AD$64:$AD$71</c:f>
              <c:numCache>
                <c:formatCode>General</c:formatCode>
                <c:ptCount val="8"/>
                <c:pt idx="0">
                  <c:v>561.65899999999999</c:v>
                </c:pt>
                <c:pt idx="1">
                  <c:v>644.68299999999999</c:v>
                </c:pt>
                <c:pt idx="2">
                  <c:v>457.38</c:v>
                </c:pt>
                <c:pt idx="3">
                  <c:v>340.60700000000003</c:v>
                </c:pt>
                <c:pt idx="4">
                  <c:v>273.572</c:v>
                </c:pt>
                <c:pt idx="5">
                  <c:v>227.72399999999999</c:v>
                </c:pt>
                <c:pt idx="6">
                  <c:v>200.27</c:v>
                </c:pt>
                <c:pt idx="7">
                  <c:v>175.81299999999999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E6-4B7B-9B22-16182004AC76}"/>
            </c:ext>
          </c:extLst>
        </c:ser>
        <c:ser>
          <c:idx val="8"/>
          <c:order val="7"/>
          <c:tx>
            <c:v>SR=30k&amp;SC=0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CMU'!$AD$72:$AD$79</c:f>
              <c:numCache>
                <c:formatCode>General</c:formatCode>
                <c:ptCount val="8"/>
                <c:pt idx="0">
                  <c:v>596.87699999999995</c:v>
                </c:pt>
                <c:pt idx="1">
                  <c:v>605.48800000000006</c:v>
                </c:pt>
                <c:pt idx="2">
                  <c:v>429.31700000000001</c:v>
                </c:pt>
                <c:pt idx="3">
                  <c:v>326.65300000000002</c:v>
                </c:pt>
                <c:pt idx="4">
                  <c:v>253.16800000000001</c:v>
                </c:pt>
                <c:pt idx="5">
                  <c:v>211.499</c:v>
                </c:pt>
                <c:pt idx="6">
                  <c:v>186.642</c:v>
                </c:pt>
                <c:pt idx="7">
                  <c:v>163.34800000000001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E6-4B7B-9B22-16182004AC76}"/>
            </c:ext>
          </c:extLst>
        </c:ser>
        <c:ser>
          <c:idx val="9"/>
          <c:order val="8"/>
          <c:tx>
            <c:v>SR=5k&amp;SC=1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CMU'!$AD$80:$AD$87</c:f>
              <c:numCache>
                <c:formatCode>General</c:formatCode>
                <c:ptCount val="8"/>
                <c:pt idx="0">
                  <c:v>607.15</c:v>
                </c:pt>
                <c:pt idx="1">
                  <c:v>565.03300000000002</c:v>
                </c:pt>
                <c:pt idx="2">
                  <c:v>697.89099999999996</c:v>
                </c:pt>
                <c:pt idx="3">
                  <c:v>586.32600000000002</c:v>
                </c:pt>
                <c:pt idx="4">
                  <c:v>565.149</c:v>
                </c:pt>
                <c:pt idx="5">
                  <c:v>480.12</c:v>
                </c:pt>
                <c:pt idx="6">
                  <c:v>404.40100000000001</c:v>
                </c:pt>
                <c:pt idx="7">
                  <c:v>348.22300000000001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E6-4B7B-9B22-16182004AC76}"/>
            </c:ext>
          </c:extLst>
        </c:ser>
        <c:ser>
          <c:idx val="10"/>
          <c:order val="9"/>
          <c:tx>
            <c:v>SR=9k&amp;SC=1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CMU'!$AD$88:$AD$95</c:f>
              <c:numCache>
                <c:formatCode>General</c:formatCode>
                <c:ptCount val="8"/>
                <c:pt idx="0">
                  <c:v>597.91300000000001</c:v>
                </c:pt>
                <c:pt idx="1">
                  <c:v>534.072</c:v>
                </c:pt>
                <c:pt idx="2">
                  <c:v>694.50800000000004</c:v>
                </c:pt>
                <c:pt idx="3">
                  <c:v>637.56200000000001</c:v>
                </c:pt>
                <c:pt idx="4">
                  <c:v>504.97699999999998</c:v>
                </c:pt>
                <c:pt idx="5">
                  <c:v>412.78399999999999</c:v>
                </c:pt>
                <c:pt idx="6">
                  <c:v>350.322</c:v>
                </c:pt>
                <c:pt idx="7">
                  <c:v>306.07799999999997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E6-4B7B-9B22-16182004AC76}"/>
            </c:ext>
          </c:extLst>
        </c:ser>
        <c:ser>
          <c:idx val="11"/>
          <c:order val="10"/>
          <c:tx>
            <c:v>SR=15k&amp;SC=1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CMU'!$AD$96:$AD$103</c:f>
              <c:numCache>
                <c:formatCode>General</c:formatCode>
                <c:ptCount val="8"/>
                <c:pt idx="0">
                  <c:v>607.19399999999996</c:v>
                </c:pt>
                <c:pt idx="1">
                  <c:v>632.65200000000004</c:v>
                </c:pt>
                <c:pt idx="2">
                  <c:v>698.125</c:v>
                </c:pt>
                <c:pt idx="3">
                  <c:v>532.91499999999996</c:v>
                </c:pt>
                <c:pt idx="4">
                  <c:v>416.42500000000001</c:v>
                </c:pt>
                <c:pt idx="5">
                  <c:v>344.63400000000001</c:v>
                </c:pt>
                <c:pt idx="6">
                  <c:v>293.13799999999998</c:v>
                </c:pt>
                <c:pt idx="7">
                  <c:v>258.06099999999998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E6-4B7B-9B22-16182004AC76}"/>
            </c:ext>
          </c:extLst>
        </c:ser>
        <c:ser>
          <c:idx val="12"/>
          <c:order val="11"/>
          <c:tx>
            <c:v>SR=20k&amp;SC=1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CMU'!$AD$104:$AD$111</c:f>
              <c:numCache>
                <c:formatCode>General</c:formatCode>
                <c:ptCount val="8"/>
                <c:pt idx="0">
                  <c:v>626.45799999999997</c:v>
                </c:pt>
                <c:pt idx="1">
                  <c:v>680.57799999999997</c:v>
                </c:pt>
                <c:pt idx="2">
                  <c:v>609.80499999999995</c:v>
                </c:pt>
                <c:pt idx="3">
                  <c:v>456.92099999999999</c:v>
                </c:pt>
                <c:pt idx="4">
                  <c:v>360.07499999999999</c:v>
                </c:pt>
                <c:pt idx="5">
                  <c:v>302.75299999999999</c:v>
                </c:pt>
                <c:pt idx="6">
                  <c:v>253.58099999999999</c:v>
                </c:pt>
                <c:pt idx="7">
                  <c:v>227.91499999999999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E6-4B7B-9B22-16182004AC76}"/>
            </c:ext>
          </c:extLst>
        </c:ser>
        <c:ser>
          <c:idx val="13"/>
          <c:order val="12"/>
          <c:tx>
            <c:v>SR=23k&amp;SC=1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CMU'!$AD$112:$AD$119</c:f>
              <c:numCache>
                <c:formatCode>General</c:formatCode>
                <c:ptCount val="8"/>
                <c:pt idx="0">
                  <c:v>566.48500000000001</c:v>
                </c:pt>
                <c:pt idx="1">
                  <c:v>688.98400000000004</c:v>
                </c:pt>
                <c:pt idx="2">
                  <c:v>568.20299999999997</c:v>
                </c:pt>
                <c:pt idx="3">
                  <c:v>430.34699999999998</c:v>
                </c:pt>
                <c:pt idx="4">
                  <c:v>330.24</c:v>
                </c:pt>
                <c:pt idx="5">
                  <c:v>275.89100000000002</c:v>
                </c:pt>
                <c:pt idx="6">
                  <c:v>240.59399999999999</c:v>
                </c:pt>
                <c:pt idx="7">
                  <c:v>208.34800000000001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E6-4B7B-9B22-16182004AC76}"/>
            </c:ext>
          </c:extLst>
        </c:ser>
        <c:ser>
          <c:idx val="14"/>
          <c:order val="13"/>
          <c:tx>
            <c:v>SR=25k&amp;SC=1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CMU'!$AD$120:$AD$127</c:f>
              <c:numCache>
                <c:formatCode>General</c:formatCode>
                <c:ptCount val="8"/>
                <c:pt idx="0">
                  <c:v>543.26700000000005</c:v>
                </c:pt>
                <c:pt idx="1">
                  <c:v>692.60699999999997</c:v>
                </c:pt>
                <c:pt idx="2">
                  <c:v>538.60599999999999</c:v>
                </c:pt>
                <c:pt idx="3">
                  <c:v>404.50299999999999</c:v>
                </c:pt>
                <c:pt idx="4">
                  <c:v>315.029</c:v>
                </c:pt>
                <c:pt idx="5">
                  <c:v>259.23599999999999</c:v>
                </c:pt>
                <c:pt idx="6">
                  <c:v>230.613</c:v>
                </c:pt>
                <c:pt idx="7">
                  <c:v>199.76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E6-4B7B-9B22-16182004AC76}"/>
            </c:ext>
          </c:extLst>
        </c:ser>
        <c:ser>
          <c:idx val="15"/>
          <c:order val="14"/>
          <c:tx>
            <c:v>SR=27k&amp;SC=1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CMU'!$AD$128:$AD$135</c:f>
              <c:numCache>
                <c:formatCode>General</c:formatCode>
                <c:ptCount val="8"/>
                <c:pt idx="0">
                  <c:v>542.798</c:v>
                </c:pt>
                <c:pt idx="1">
                  <c:v>687.63</c:v>
                </c:pt>
                <c:pt idx="2">
                  <c:v>504.22199999999998</c:v>
                </c:pt>
                <c:pt idx="3">
                  <c:v>373.81</c:v>
                </c:pt>
                <c:pt idx="4">
                  <c:v>301.20999999999998</c:v>
                </c:pt>
                <c:pt idx="5">
                  <c:v>255.726</c:v>
                </c:pt>
                <c:pt idx="6">
                  <c:v>219.51300000000001</c:v>
                </c:pt>
                <c:pt idx="7">
                  <c:v>194.37899999999999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E6-4B7B-9B22-16182004AC76}"/>
            </c:ext>
          </c:extLst>
        </c:ser>
        <c:ser>
          <c:idx val="16"/>
          <c:order val="15"/>
          <c:tx>
            <c:v>SR=30k&amp;SC=1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'Scan CMU'!$U$16:$U$23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CMU'!$AD$136:$AD$143</c:f>
              <c:numCache>
                <c:formatCode>General</c:formatCode>
                <c:ptCount val="8"/>
                <c:pt idx="0">
                  <c:v>550.82299999999998</c:v>
                </c:pt>
                <c:pt idx="1">
                  <c:v>646.87</c:v>
                </c:pt>
                <c:pt idx="2">
                  <c:v>472.72300000000001</c:v>
                </c:pt>
                <c:pt idx="3">
                  <c:v>357.447</c:v>
                </c:pt>
                <c:pt idx="4">
                  <c:v>284.63499999999999</c:v>
                </c:pt>
                <c:pt idx="5">
                  <c:v>240.55600000000001</c:v>
                </c:pt>
                <c:pt idx="6">
                  <c:v>207.297</c:v>
                </c:pt>
                <c:pt idx="7">
                  <c:v>183.245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E6-4B7B-9B22-16182004A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498480"/>
        <c:axId val="324894344"/>
      </c:lineChart>
      <c:catAx>
        <c:axId val="32449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Icp/uA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894344"/>
        <c:crosses val="autoZero"/>
        <c:auto val="1"/>
        <c:lblAlgn val="ctr"/>
        <c:lblOffset val="100"/>
        <c:noMultiLvlLbl val="0"/>
      </c:catAx>
      <c:valAx>
        <c:axId val="32489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RMS Jitter/ps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4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SR=110&amp;SC=0</a:t>
            </a:r>
            <a:r>
              <a:rPr lang="zh-CN" altLang="zh-CN" sz="1800" b="0" i="0" baseline="0">
                <a:effectLst/>
              </a:rPr>
              <a:t>时</a:t>
            </a:r>
            <a:r>
              <a:rPr lang="en-US" altLang="zh-CN" sz="1800" b="0" i="0" baseline="0">
                <a:effectLst/>
              </a:rPr>
              <a:t>Icp</a:t>
            </a:r>
            <a:r>
              <a:rPr lang="zh-CN" altLang="zh-CN" sz="1800" b="0" i="0" baseline="0">
                <a:effectLst/>
              </a:rPr>
              <a:t>趋势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Jitter_without_cap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'Scan CMU'!$C$152:$C$159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cat>
          <c:val>
            <c:numRef>
              <c:f>'Scan CMU'!$D$152:$D$159</c:f>
              <c:numCache>
                <c:formatCode>General</c:formatCode>
                <c:ptCount val="8"/>
                <c:pt idx="0">
                  <c:v>37.429000000000002</c:v>
                </c:pt>
                <c:pt idx="1">
                  <c:v>28.268000000000001</c:v>
                </c:pt>
                <c:pt idx="2">
                  <c:v>31.154</c:v>
                </c:pt>
                <c:pt idx="3">
                  <c:v>28.536999999999999</c:v>
                </c:pt>
                <c:pt idx="4">
                  <c:v>27.291</c:v>
                </c:pt>
                <c:pt idx="5">
                  <c:v>31.129000000000001</c:v>
                </c:pt>
                <c:pt idx="6">
                  <c:v>29.963999999999999</c:v>
                </c:pt>
                <c:pt idx="7">
                  <c:v>28.552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9-4931-9DDC-8A3BAF2E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964472"/>
        <c:axId val="325958840"/>
      </c:lineChart>
      <c:catAx>
        <c:axId val="32596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Icp/uA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958840"/>
        <c:crosses val="autoZero"/>
        <c:auto val="1"/>
        <c:lblAlgn val="ctr"/>
        <c:lblOffset val="100"/>
        <c:noMultiLvlLbl val="0"/>
      </c:catAx>
      <c:valAx>
        <c:axId val="32595884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RMS Jitter/ps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96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3</xdr:row>
      <xdr:rowOff>0</xdr:rowOff>
    </xdr:from>
    <xdr:to>
      <xdr:col>23</xdr:col>
      <xdr:colOff>227022</xdr:colOff>
      <xdr:row>22</xdr:row>
      <xdr:rowOff>123401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514350"/>
          <a:ext cx="12619047" cy="3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158308</xdr:colOff>
      <xdr:row>56</xdr:row>
      <xdr:rowOff>71949</xdr:rowOff>
    </xdr:from>
    <xdr:to>
      <xdr:col>19</xdr:col>
      <xdr:colOff>108137</xdr:colOff>
      <xdr:row>83</xdr:row>
      <xdr:rowOff>39782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632369</xdr:colOff>
      <xdr:row>24</xdr:row>
      <xdr:rowOff>49737</xdr:rowOff>
    </xdr:from>
    <xdr:to>
      <xdr:col>43</xdr:col>
      <xdr:colOff>501618</xdr:colOff>
      <xdr:row>52</xdr:row>
      <xdr:rowOff>107710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212911</xdr:colOff>
      <xdr:row>16</xdr:row>
      <xdr:rowOff>123265</xdr:rowOff>
    </xdr:from>
    <xdr:to>
      <xdr:col>19</xdr:col>
      <xdr:colOff>582856</xdr:colOff>
      <xdr:row>49</xdr:row>
      <xdr:rowOff>62943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75793" y="2319618"/>
          <a:ext cx="7205534" cy="5486590"/>
        </a:xfrm>
        <a:prstGeom prst="rect">
          <a:avLst/>
        </a:prstGeom>
      </xdr:spPr>
    </xdr:pic>
    <xdr:clientData/>
  </xdr:twoCellAnchor>
  <xdr:twoCellAnchor>
    <xdr:from>
      <xdr:col>8</xdr:col>
      <xdr:colOff>89647</xdr:colOff>
      <xdr:row>29</xdr:row>
      <xdr:rowOff>156882</xdr:rowOff>
    </xdr:from>
    <xdr:to>
      <xdr:col>9</xdr:col>
      <xdr:colOff>56030</xdr:colOff>
      <xdr:row>31</xdr:row>
      <xdr:rowOff>11206</xdr:rowOff>
    </xdr:to>
    <xdr:sp macro="" textlink="">
      <xdr:nvSpPr>
        <xdr:cNvPr id="5" name="右箭头 4"/>
        <xdr:cNvSpPr/>
      </xdr:nvSpPr>
      <xdr:spPr>
        <a:xfrm>
          <a:off x="9468971" y="4538382"/>
          <a:ext cx="649941" cy="190500"/>
        </a:xfrm>
        <a:prstGeom prst="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73959</xdr:colOff>
      <xdr:row>77</xdr:row>
      <xdr:rowOff>152400</xdr:rowOff>
    </xdr:from>
    <xdr:to>
      <xdr:col>33</xdr:col>
      <xdr:colOff>40341</xdr:colOff>
      <xdr:row>79</xdr:row>
      <xdr:rowOff>6723</xdr:rowOff>
    </xdr:to>
    <xdr:sp macro="" textlink="">
      <xdr:nvSpPr>
        <xdr:cNvPr id="6" name="右箭头 5"/>
        <xdr:cNvSpPr/>
      </xdr:nvSpPr>
      <xdr:spPr>
        <a:xfrm>
          <a:off x="27483547" y="12602135"/>
          <a:ext cx="649941" cy="190500"/>
        </a:xfrm>
        <a:prstGeom prst="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78441</xdr:colOff>
      <xdr:row>62</xdr:row>
      <xdr:rowOff>69464</xdr:rowOff>
    </xdr:from>
    <xdr:to>
      <xdr:col>43</xdr:col>
      <xdr:colOff>638736</xdr:colOff>
      <xdr:row>95</xdr:row>
      <xdr:rowOff>167159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71588" y="9997876"/>
          <a:ext cx="7395883" cy="5644607"/>
        </a:xfrm>
        <a:prstGeom prst="rect">
          <a:avLst/>
        </a:prstGeom>
      </xdr:spPr>
    </xdr:pic>
    <xdr:clientData/>
  </xdr:twoCellAnchor>
  <xdr:twoCellAnchor>
    <xdr:from>
      <xdr:col>5</xdr:col>
      <xdr:colOff>537883</xdr:colOff>
      <xdr:row>147</xdr:row>
      <xdr:rowOff>163605</xdr:rowOff>
    </xdr:from>
    <xdr:to>
      <xdr:col>10</xdr:col>
      <xdr:colOff>347383</xdr:colOff>
      <xdr:row>164</xdr:row>
      <xdr:rowOff>49305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1265" name="AutoShape 1" descr="D:\work\USB\USB2\RL6470&amp;RLE0799\CTS\"/>
        <xdr:cNvSpPr>
          <a:spLocks noChangeAspect="1" noChangeArrowheads="1"/>
        </xdr:cNvSpPr>
      </xdr:nvSpPr>
      <xdr:spPr bwMode="auto">
        <a:xfrm>
          <a:off x="0" y="1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1266" name="AutoShape 2" descr="D:\work\USB\USB2\RL6470&amp;RLE0799\CTS\"/>
        <xdr:cNvSpPr>
          <a:spLocks noChangeAspect="1" noChangeArrowheads="1"/>
        </xdr:cNvSpPr>
      </xdr:nvSpPr>
      <xdr:spPr bwMode="auto">
        <a:xfrm>
          <a:off x="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1267" name="AutoShape 3" descr="D:\work\USB\USB2\RL6470&amp;RLE0799\CTS\"/>
        <xdr:cNvSpPr>
          <a:spLocks noChangeAspect="1" noChangeArrowheads="1"/>
        </xdr:cNvSpPr>
      </xdr:nvSpPr>
      <xdr:spPr bwMode="auto">
        <a:xfrm>
          <a:off x="0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1268" name="AutoShape 4" descr="D:\work\USB\USB2\RL6470&amp;RLE0799\CTS\"/>
        <xdr:cNvSpPr>
          <a:spLocks noChangeAspect="1" noChangeArrowheads="1"/>
        </xdr:cNvSpPr>
      </xdr:nvSpPr>
      <xdr:spPr bwMode="auto">
        <a:xfrm>
          <a:off x="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1269" name="AutoShape 5" descr="D:\work\USB\USB2\RL6470&amp;RLE0799\CTS\"/>
        <xdr:cNvSpPr>
          <a:spLocks noChangeAspect="1" noChangeArrowheads="1"/>
        </xdr:cNvSpPr>
      </xdr:nvSpPr>
      <xdr:spPr bwMode="auto">
        <a:xfrm>
          <a:off x="0" y="5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1270" name="AutoShape 6" descr="D:\work\USB\USB2\RL6470&amp;RLE0799\CTS\"/>
        <xdr:cNvSpPr>
          <a:spLocks noChangeAspect="1" noChangeArrowheads="1"/>
        </xdr:cNvSpPr>
      </xdr:nvSpPr>
      <xdr:spPr bwMode="auto">
        <a:xfrm>
          <a:off x="0" y="63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1271" name="AutoShape 7" descr="D:\work\USB\USB2\RL6470&amp;RLE0799\CTS\"/>
        <xdr:cNvSpPr>
          <a:spLocks noChangeAspect="1" noChangeArrowheads="1"/>
        </xdr:cNvSpPr>
      </xdr:nvSpPr>
      <xdr:spPr bwMode="auto">
        <a:xfrm>
          <a:off x="0" y="72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1272" name="AutoShape 8" descr="D:\work\USB\USB2\RL6470&amp;RLE0799\CTS\"/>
        <xdr:cNvSpPr>
          <a:spLocks noChangeAspect="1" noChangeArrowheads="1"/>
        </xdr:cNvSpPr>
      </xdr:nvSpPr>
      <xdr:spPr bwMode="auto">
        <a:xfrm>
          <a:off x="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1273" name="AutoShape 9" descr="D:\work\USB\USB2\RL6470&amp;RLE0799\CTS\"/>
        <xdr:cNvSpPr>
          <a:spLocks noChangeAspect="1" noChangeArrowheads="1"/>
        </xdr:cNvSpPr>
      </xdr:nvSpPr>
      <xdr:spPr bwMode="auto">
        <a:xfrm>
          <a:off x="0" y="1037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1274" name="AutoShape 10" descr="D:\work\USB\USB2\RL6470&amp;RLE0799\CTS\"/>
        <xdr:cNvSpPr>
          <a:spLocks noChangeAspect="1" noChangeArrowheads="1"/>
        </xdr:cNvSpPr>
      </xdr:nvSpPr>
      <xdr:spPr bwMode="auto">
        <a:xfrm>
          <a:off x="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1275" name="AutoShape 11" descr="D:\work\USB\USB2\RL6470&amp;RLE0799\CTS\"/>
        <xdr:cNvSpPr>
          <a:spLocks noChangeAspect="1" noChangeArrowheads="1"/>
        </xdr:cNvSpPr>
      </xdr:nvSpPr>
      <xdr:spPr bwMode="auto">
        <a:xfrm>
          <a:off x="0" y="123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1276" name="AutoShape 12" descr="D:\work\USB\USB2\RL6470&amp;RLE0799\CTS\"/>
        <xdr:cNvSpPr>
          <a:spLocks noChangeAspect="1" noChangeArrowheads="1"/>
        </xdr:cNvSpPr>
      </xdr:nvSpPr>
      <xdr:spPr bwMode="auto">
        <a:xfrm>
          <a:off x="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1277" name="AutoShape 13" descr="D:\work\USB\USB2\RL6470&amp;RLE0799\CTS\"/>
        <xdr:cNvSpPr>
          <a:spLocks noChangeAspect="1" noChangeArrowheads="1"/>
        </xdr:cNvSpPr>
      </xdr:nvSpPr>
      <xdr:spPr bwMode="auto">
        <a:xfrm>
          <a:off x="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1278" name="AutoShape 14" descr="D:\work\USB\USB2\RL6470&amp;RLE0799\CTS\"/>
        <xdr:cNvSpPr>
          <a:spLocks noChangeAspect="1" noChangeArrowheads="1"/>
        </xdr:cNvSpPr>
      </xdr:nvSpPr>
      <xdr:spPr bwMode="auto">
        <a:xfrm>
          <a:off x="0" y="15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1279" name="AutoShape 15" descr="D:\work\USB\USB2\RL6470&amp;RLE0799\CTS\"/>
        <xdr:cNvSpPr>
          <a:spLocks noChangeAspect="1" noChangeArrowheads="1"/>
        </xdr:cNvSpPr>
      </xdr:nvSpPr>
      <xdr:spPr bwMode="auto">
        <a:xfrm>
          <a:off x="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1280" name="AutoShape 16" descr="D:\work\USB\USB2\RL6470&amp;RLE0799\CTS\"/>
        <xdr:cNvSpPr>
          <a:spLocks noChangeAspect="1" noChangeArrowheads="1"/>
        </xdr:cNvSpPr>
      </xdr:nvSpPr>
      <xdr:spPr bwMode="auto">
        <a:xfrm>
          <a:off x="0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1281" name="AutoShape 17" descr="D:\work\USB\USB2\RL6470&amp;RLE0799\CTS\"/>
        <xdr:cNvSpPr>
          <a:spLocks noChangeAspect="1" noChangeArrowheads="1"/>
        </xdr:cNvSpPr>
      </xdr:nvSpPr>
      <xdr:spPr bwMode="auto">
        <a:xfrm>
          <a:off x="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1282" name="AutoShape 18" descr="D:\work\USB\USB2\RL6470&amp;RLE0799\CTS\"/>
        <xdr:cNvSpPr>
          <a:spLocks noChangeAspect="1" noChangeArrowheads="1"/>
        </xdr:cNvSpPr>
      </xdr:nvSpPr>
      <xdr:spPr bwMode="auto">
        <a:xfrm>
          <a:off x="0" y="195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1283" name="AutoShape 19" descr="D:\work\USB\USB2\RL6470&amp;RLE0799\CTS\"/>
        <xdr:cNvSpPr>
          <a:spLocks noChangeAspect="1" noChangeArrowheads="1"/>
        </xdr:cNvSpPr>
      </xdr:nvSpPr>
      <xdr:spPr bwMode="auto">
        <a:xfrm>
          <a:off x="0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1284" name="AutoShape 20" descr="D:\work\USB\USB2\RL6470&amp;RLE0799\CTS\"/>
        <xdr:cNvSpPr>
          <a:spLocks noChangeAspect="1" noChangeArrowheads="1"/>
        </xdr:cNvSpPr>
      </xdr:nvSpPr>
      <xdr:spPr bwMode="auto">
        <a:xfrm>
          <a:off x="0" y="1707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1285" name="AutoShape 21" descr="D:\work\USB\USB2\RL6470&amp;RLE0799\CTS\"/>
        <xdr:cNvSpPr>
          <a:spLocks noChangeAspect="1" noChangeArrowheads="1"/>
        </xdr:cNvSpPr>
      </xdr:nvSpPr>
      <xdr:spPr bwMode="auto">
        <a:xfrm>
          <a:off x="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9</xdr:row>
      <xdr:rowOff>304800</xdr:rowOff>
    </xdr:to>
    <xdr:sp macro="" textlink="">
      <xdr:nvSpPr>
        <xdr:cNvPr id="11286" name="AutoShape 22" descr="D:\work\USB\USB2\RL6470&amp;RLE0799\CTS\"/>
        <xdr:cNvSpPr>
          <a:spLocks noChangeAspect="1" noChangeArrowheads="1"/>
        </xdr:cNvSpPr>
      </xdr:nvSpPr>
      <xdr:spPr bwMode="auto">
        <a:xfrm>
          <a:off x="12877800" y="1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10</xdr:row>
      <xdr:rowOff>304800</xdr:rowOff>
    </xdr:to>
    <xdr:sp macro="" textlink="">
      <xdr:nvSpPr>
        <xdr:cNvPr id="11287" name="AutoShape 23" descr="D:\work\USB\USB2\RL6470&amp;RLE0799\CTS\"/>
        <xdr:cNvSpPr>
          <a:spLocks noChangeAspect="1" noChangeArrowheads="1"/>
        </xdr:cNvSpPr>
      </xdr:nvSpPr>
      <xdr:spPr bwMode="auto">
        <a:xfrm>
          <a:off x="12877800" y="26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11</xdr:row>
      <xdr:rowOff>304800</xdr:rowOff>
    </xdr:to>
    <xdr:sp macro="" textlink="">
      <xdr:nvSpPr>
        <xdr:cNvPr id="11288" name="AutoShape 24" descr="D:\work\USB\USB2\RL6470&amp;RLE0799\CTS\"/>
        <xdr:cNvSpPr>
          <a:spLocks noChangeAspect="1" noChangeArrowheads="1"/>
        </xdr:cNvSpPr>
      </xdr:nvSpPr>
      <xdr:spPr bwMode="auto">
        <a:xfrm>
          <a:off x="12877800" y="33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12</xdr:row>
      <xdr:rowOff>304800</xdr:rowOff>
    </xdr:to>
    <xdr:sp macro="" textlink="">
      <xdr:nvSpPr>
        <xdr:cNvPr id="11289" name="AutoShape 25" descr="D:\work\USB\USB2\RL6470&amp;RLE0799\CTS\"/>
        <xdr:cNvSpPr>
          <a:spLocks noChangeAspect="1" noChangeArrowheads="1"/>
        </xdr:cNvSpPr>
      </xdr:nvSpPr>
      <xdr:spPr bwMode="auto">
        <a:xfrm>
          <a:off x="12877800" y="40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13</xdr:row>
      <xdr:rowOff>304800</xdr:rowOff>
    </xdr:to>
    <xdr:sp macro="" textlink="">
      <xdr:nvSpPr>
        <xdr:cNvPr id="11290" name="AutoShape 26" descr="D:\work\USB\USB2\RL6470&amp;RLE0799\CTS\"/>
        <xdr:cNvSpPr>
          <a:spLocks noChangeAspect="1" noChangeArrowheads="1"/>
        </xdr:cNvSpPr>
      </xdr:nvSpPr>
      <xdr:spPr bwMode="auto">
        <a:xfrm>
          <a:off x="1287780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1291" name="AutoShape 27" descr="D:\work\USB\USB2\RL6470&amp;RLE0799\CTS\"/>
        <xdr:cNvSpPr>
          <a:spLocks noChangeAspect="1" noChangeArrowheads="1"/>
        </xdr:cNvSpPr>
      </xdr:nvSpPr>
      <xdr:spPr bwMode="auto">
        <a:xfrm>
          <a:off x="12877800" y="5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304800</xdr:colOff>
      <xdr:row>15</xdr:row>
      <xdr:rowOff>304800</xdr:rowOff>
    </xdr:to>
    <xdr:sp macro="" textlink="">
      <xdr:nvSpPr>
        <xdr:cNvPr id="11292" name="AutoShape 28" descr="D:\work\USB\USB2\RL6470&amp;RLE0799\CTS\"/>
        <xdr:cNvSpPr>
          <a:spLocks noChangeAspect="1" noChangeArrowheads="1"/>
        </xdr:cNvSpPr>
      </xdr:nvSpPr>
      <xdr:spPr bwMode="auto">
        <a:xfrm>
          <a:off x="1287780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16</xdr:row>
      <xdr:rowOff>304800</xdr:rowOff>
    </xdr:to>
    <xdr:sp macro="" textlink="">
      <xdr:nvSpPr>
        <xdr:cNvPr id="11293" name="AutoShape 29" descr="D:\work\USB\USB2\RL6470&amp;RLE0799\CTS\"/>
        <xdr:cNvSpPr>
          <a:spLocks noChangeAspect="1" noChangeArrowheads="1"/>
        </xdr:cNvSpPr>
      </xdr:nvSpPr>
      <xdr:spPr bwMode="auto">
        <a:xfrm>
          <a:off x="128778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17</xdr:row>
      <xdr:rowOff>304800</xdr:rowOff>
    </xdr:to>
    <xdr:sp macro="" textlink="">
      <xdr:nvSpPr>
        <xdr:cNvPr id="11294" name="AutoShape 30" descr="D:\work\USB\USB2\RL6470&amp;RLE0799\CTS\"/>
        <xdr:cNvSpPr>
          <a:spLocks noChangeAspect="1" noChangeArrowheads="1"/>
        </xdr:cNvSpPr>
      </xdr:nvSpPr>
      <xdr:spPr bwMode="auto">
        <a:xfrm>
          <a:off x="1287780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18</xdr:row>
      <xdr:rowOff>304800</xdr:rowOff>
    </xdr:to>
    <xdr:sp macro="" textlink="">
      <xdr:nvSpPr>
        <xdr:cNvPr id="11295" name="AutoShape 31" descr="D:\work\USB\USB2\RL6470&amp;RLE0799\CTS\"/>
        <xdr:cNvSpPr>
          <a:spLocks noChangeAspect="1" noChangeArrowheads="1"/>
        </xdr:cNvSpPr>
      </xdr:nvSpPr>
      <xdr:spPr bwMode="auto">
        <a:xfrm>
          <a:off x="12877800" y="91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19</xdr:row>
      <xdr:rowOff>304800</xdr:rowOff>
    </xdr:to>
    <xdr:sp macro="" textlink="">
      <xdr:nvSpPr>
        <xdr:cNvPr id="11296" name="AutoShape 32" descr="D:\work\USB\USB2\RL6470&amp;RLE0799\CTS\"/>
        <xdr:cNvSpPr>
          <a:spLocks noChangeAspect="1" noChangeArrowheads="1"/>
        </xdr:cNvSpPr>
      </xdr:nvSpPr>
      <xdr:spPr bwMode="auto">
        <a:xfrm>
          <a:off x="12877800" y="1008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304800</xdr:colOff>
      <xdr:row>20</xdr:row>
      <xdr:rowOff>304800</xdr:rowOff>
    </xdr:to>
    <xdr:sp macro="" textlink="">
      <xdr:nvSpPr>
        <xdr:cNvPr id="11297" name="AutoShape 33" descr="D:\work\USB\USB2\RL6470&amp;RLE0799\CTS\"/>
        <xdr:cNvSpPr>
          <a:spLocks noChangeAspect="1" noChangeArrowheads="1"/>
        </xdr:cNvSpPr>
      </xdr:nvSpPr>
      <xdr:spPr bwMode="auto">
        <a:xfrm>
          <a:off x="12877800" y="116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21</xdr:row>
      <xdr:rowOff>304800</xdr:rowOff>
    </xdr:to>
    <xdr:sp macro="" textlink="">
      <xdr:nvSpPr>
        <xdr:cNvPr id="11298" name="AutoShape 34" descr="D:\work\USB\USB2\RL6470&amp;RLE0799\CTS\"/>
        <xdr:cNvSpPr>
          <a:spLocks noChangeAspect="1" noChangeArrowheads="1"/>
        </xdr:cNvSpPr>
      </xdr:nvSpPr>
      <xdr:spPr bwMode="auto">
        <a:xfrm>
          <a:off x="1287780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304800</xdr:colOff>
      <xdr:row>22</xdr:row>
      <xdr:rowOff>304800</xdr:rowOff>
    </xdr:to>
    <xdr:sp macro="" textlink="">
      <xdr:nvSpPr>
        <xdr:cNvPr id="11299" name="AutoShape 35" descr="D:\work\USB\USB2\RL6470&amp;RLE0799\CTS\"/>
        <xdr:cNvSpPr>
          <a:spLocks noChangeAspect="1" noChangeArrowheads="1"/>
        </xdr:cNvSpPr>
      </xdr:nvSpPr>
      <xdr:spPr bwMode="auto">
        <a:xfrm>
          <a:off x="12877800" y="135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304800</xdr:colOff>
      <xdr:row>23</xdr:row>
      <xdr:rowOff>304800</xdr:rowOff>
    </xdr:to>
    <xdr:sp macro="" textlink="">
      <xdr:nvSpPr>
        <xdr:cNvPr id="11300" name="AutoShape 36" descr="D:\work\USB\USB2\RL6470&amp;RLE0799\CTS\"/>
        <xdr:cNvSpPr>
          <a:spLocks noChangeAspect="1" noChangeArrowheads="1"/>
        </xdr:cNvSpPr>
      </xdr:nvSpPr>
      <xdr:spPr bwMode="auto">
        <a:xfrm>
          <a:off x="1287780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24</xdr:row>
      <xdr:rowOff>304800</xdr:rowOff>
    </xdr:to>
    <xdr:sp macro="" textlink="">
      <xdr:nvSpPr>
        <xdr:cNvPr id="11301" name="AutoShape 37" descr="D:\work\USB\USB2\RL6470&amp;RLE0799\CTS\"/>
        <xdr:cNvSpPr>
          <a:spLocks noChangeAspect="1" noChangeArrowheads="1"/>
        </xdr:cNvSpPr>
      </xdr:nvSpPr>
      <xdr:spPr bwMode="auto">
        <a:xfrm>
          <a:off x="1287780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25</xdr:row>
      <xdr:rowOff>304800</xdr:rowOff>
    </xdr:to>
    <xdr:sp macro="" textlink="">
      <xdr:nvSpPr>
        <xdr:cNvPr id="11302" name="AutoShape 38" descr="D:\work\USB\USB2\RL6470&amp;RLE0799\CTS\"/>
        <xdr:cNvSpPr>
          <a:spLocks noChangeAspect="1" noChangeArrowheads="1"/>
        </xdr:cNvSpPr>
      </xdr:nvSpPr>
      <xdr:spPr bwMode="auto">
        <a:xfrm>
          <a:off x="12877800" y="160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304800</xdr:colOff>
      <xdr:row>26</xdr:row>
      <xdr:rowOff>304800</xdr:rowOff>
    </xdr:to>
    <xdr:sp macro="" textlink="">
      <xdr:nvSpPr>
        <xdr:cNvPr id="11303" name="AutoShape 39" descr="D:\work\USB\USB2\RL6470&amp;RLE0799\CTS\"/>
        <xdr:cNvSpPr>
          <a:spLocks noChangeAspect="1" noChangeArrowheads="1"/>
        </xdr:cNvSpPr>
      </xdr:nvSpPr>
      <xdr:spPr bwMode="auto">
        <a:xfrm>
          <a:off x="12877800" y="165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304800</xdr:colOff>
      <xdr:row>27</xdr:row>
      <xdr:rowOff>304800</xdr:rowOff>
    </xdr:to>
    <xdr:sp macro="" textlink="">
      <xdr:nvSpPr>
        <xdr:cNvPr id="11304" name="AutoShape 40" descr="D:\work\USB\USB2\RL6470&amp;RLE0799\CTS\"/>
        <xdr:cNvSpPr>
          <a:spLocks noChangeAspect="1" noChangeArrowheads="1"/>
        </xdr:cNvSpPr>
      </xdr:nvSpPr>
      <xdr:spPr bwMode="auto">
        <a:xfrm>
          <a:off x="12877800" y="175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304800</xdr:colOff>
      <xdr:row>28</xdr:row>
      <xdr:rowOff>304800</xdr:rowOff>
    </xdr:to>
    <xdr:sp macro="" textlink="">
      <xdr:nvSpPr>
        <xdr:cNvPr id="11305" name="AutoShape 41" descr="D:\work\USB\USB2\RL6470&amp;RLE0799\CTS\"/>
        <xdr:cNvSpPr>
          <a:spLocks noChangeAspect="1" noChangeArrowheads="1"/>
        </xdr:cNvSpPr>
      </xdr:nvSpPr>
      <xdr:spPr bwMode="auto">
        <a:xfrm>
          <a:off x="12877800" y="182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304800</xdr:colOff>
      <xdr:row>29</xdr:row>
      <xdr:rowOff>304800</xdr:rowOff>
    </xdr:to>
    <xdr:sp macro="" textlink="">
      <xdr:nvSpPr>
        <xdr:cNvPr id="11306" name="AutoShape 42" descr="D:\work\USB\USB2\RL6470&amp;RLE0799\CTS\"/>
        <xdr:cNvSpPr>
          <a:spLocks noChangeAspect="1" noChangeArrowheads="1"/>
        </xdr:cNvSpPr>
      </xdr:nvSpPr>
      <xdr:spPr bwMode="auto">
        <a:xfrm>
          <a:off x="12877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304800</xdr:colOff>
      <xdr:row>9</xdr:row>
      <xdr:rowOff>304800</xdr:rowOff>
    </xdr:to>
    <xdr:sp macro="" textlink="">
      <xdr:nvSpPr>
        <xdr:cNvPr id="11307" name="AutoShape 43" descr="D:\work\USB\USB2\RL6470&amp;RLE0799\CTS\"/>
        <xdr:cNvSpPr>
          <a:spLocks noChangeAspect="1" noChangeArrowheads="1"/>
        </xdr:cNvSpPr>
      </xdr:nvSpPr>
      <xdr:spPr bwMode="auto">
        <a:xfrm>
          <a:off x="24022050" y="1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304800</xdr:colOff>
      <xdr:row>10</xdr:row>
      <xdr:rowOff>304800</xdr:rowOff>
    </xdr:to>
    <xdr:sp macro="" textlink="">
      <xdr:nvSpPr>
        <xdr:cNvPr id="11308" name="AutoShape 44" descr="D:\work\USB\USB2\RL6470&amp;RLE0799\CTS\"/>
        <xdr:cNvSpPr>
          <a:spLocks noChangeAspect="1" noChangeArrowheads="1"/>
        </xdr:cNvSpPr>
      </xdr:nvSpPr>
      <xdr:spPr bwMode="auto">
        <a:xfrm>
          <a:off x="24022050" y="26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304800</xdr:colOff>
      <xdr:row>11</xdr:row>
      <xdr:rowOff>304800</xdr:rowOff>
    </xdr:to>
    <xdr:sp macro="" textlink="">
      <xdr:nvSpPr>
        <xdr:cNvPr id="11309" name="AutoShape 45" descr="D:\work\USB\USB2\RL6470&amp;RLE0799\CTS\"/>
        <xdr:cNvSpPr>
          <a:spLocks noChangeAspect="1" noChangeArrowheads="1"/>
        </xdr:cNvSpPr>
      </xdr:nvSpPr>
      <xdr:spPr bwMode="auto">
        <a:xfrm>
          <a:off x="24022050" y="33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304800</xdr:colOff>
      <xdr:row>12</xdr:row>
      <xdr:rowOff>304800</xdr:rowOff>
    </xdr:to>
    <xdr:sp macro="" textlink="">
      <xdr:nvSpPr>
        <xdr:cNvPr id="11310" name="AutoShape 46" descr="D:\work\USB\USB2\RL6470&amp;RLE0799\CTS\"/>
        <xdr:cNvSpPr>
          <a:spLocks noChangeAspect="1" noChangeArrowheads="1"/>
        </xdr:cNvSpPr>
      </xdr:nvSpPr>
      <xdr:spPr bwMode="auto">
        <a:xfrm>
          <a:off x="24022050" y="40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304800</xdr:colOff>
      <xdr:row>13</xdr:row>
      <xdr:rowOff>304800</xdr:rowOff>
    </xdr:to>
    <xdr:sp macro="" textlink="">
      <xdr:nvSpPr>
        <xdr:cNvPr id="11311" name="AutoShape 47" descr="D:\work\USB\USB2\RL6470&amp;RLE0799\CTS\"/>
        <xdr:cNvSpPr>
          <a:spLocks noChangeAspect="1" noChangeArrowheads="1"/>
        </xdr:cNvSpPr>
      </xdr:nvSpPr>
      <xdr:spPr bwMode="auto">
        <a:xfrm>
          <a:off x="240220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304800</xdr:colOff>
      <xdr:row>14</xdr:row>
      <xdr:rowOff>304800</xdr:rowOff>
    </xdr:to>
    <xdr:sp macro="" textlink="">
      <xdr:nvSpPr>
        <xdr:cNvPr id="11312" name="AutoShape 48" descr="D:\work\USB\USB2\RL6470&amp;RLE0799\CTS\"/>
        <xdr:cNvSpPr>
          <a:spLocks noChangeAspect="1" noChangeArrowheads="1"/>
        </xdr:cNvSpPr>
      </xdr:nvSpPr>
      <xdr:spPr bwMode="auto">
        <a:xfrm>
          <a:off x="24022050" y="5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304800</xdr:colOff>
      <xdr:row>15</xdr:row>
      <xdr:rowOff>304800</xdr:rowOff>
    </xdr:to>
    <xdr:sp macro="" textlink="">
      <xdr:nvSpPr>
        <xdr:cNvPr id="11313" name="AutoShape 49" descr="D:\work\USB\USB2\RL6470&amp;RLE0799\CTS\"/>
        <xdr:cNvSpPr>
          <a:spLocks noChangeAspect="1" noChangeArrowheads="1"/>
        </xdr:cNvSpPr>
      </xdr:nvSpPr>
      <xdr:spPr bwMode="auto">
        <a:xfrm>
          <a:off x="2402205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304800</xdr:colOff>
      <xdr:row>16</xdr:row>
      <xdr:rowOff>304800</xdr:rowOff>
    </xdr:to>
    <xdr:sp macro="" textlink="">
      <xdr:nvSpPr>
        <xdr:cNvPr id="11314" name="AutoShape 50" descr="D:\work\USB\USB2\RL6470&amp;RLE0799\CTS\"/>
        <xdr:cNvSpPr>
          <a:spLocks noChangeAspect="1" noChangeArrowheads="1"/>
        </xdr:cNvSpPr>
      </xdr:nvSpPr>
      <xdr:spPr bwMode="auto">
        <a:xfrm>
          <a:off x="2402205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304800</xdr:colOff>
      <xdr:row>17</xdr:row>
      <xdr:rowOff>304800</xdr:rowOff>
    </xdr:to>
    <xdr:sp macro="" textlink="">
      <xdr:nvSpPr>
        <xdr:cNvPr id="11315" name="AutoShape 51" descr="D:\work\USB\USB2\RL6470&amp;RLE0799\CTS\"/>
        <xdr:cNvSpPr>
          <a:spLocks noChangeAspect="1" noChangeArrowheads="1"/>
        </xdr:cNvSpPr>
      </xdr:nvSpPr>
      <xdr:spPr bwMode="auto">
        <a:xfrm>
          <a:off x="240220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304800</xdr:colOff>
      <xdr:row>18</xdr:row>
      <xdr:rowOff>304800</xdr:rowOff>
    </xdr:to>
    <xdr:sp macro="" textlink="">
      <xdr:nvSpPr>
        <xdr:cNvPr id="11316" name="AutoShape 52" descr="D:\work\USB\USB2\RL6470&amp;RLE0799\CTS\"/>
        <xdr:cNvSpPr>
          <a:spLocks noChangeAspect="1" noChangeArrowheads="1"/>
        </xdr:cNvSpPr>
      </xdr:nvSpPr>
      <xdr:spPr bwMode="auto">
        <a:xfrm>
          <a:off x="24022050" y="91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304800</xdr:colOff>
      <xdr:row>19</xdr:row>
      <xdr:rowOff>304800</xdr:rowOff>
    </xdr:to>
    <xdr:sp macro="" textlink="">
      <xdr:nvSpPr>
        <xdr:cNvPr id="11317" name="AutoShape 53" descr="D:\work\USB\USB2\RL6470&amp;RLE0799\CTS\"/>
        <xdr:cNvSpPr>
          <a:spLocks noChangeAspect="1" noChangeArrowheads="1"/>
        </xdr:cNvSpPr>
      </xdr:nvSpPr>
      <xdr:spPr bwMode="auto">
        <a:xfrm>
          <a:off x="24022050" y="1008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304800</xdr:colOff>
      <xdr:row>20</xdr:row>
      <xdr:rowOff>304800</xdr:rowOff>
    </xdr:to>
    <xdr:sp macro="" textlink="">
      <xdr:nvSpPr>
        <xdr:cNvPr id="11318" name="AutoShape 54" descr="D:\work\USB\USB2\RL6470&amp;RLE0799\CTS\"/>
        <xdr:cNvSpPr>
          <a:spLocks noChangeAspect="1" noChangeArrowheads="1"/>
        </xdr:cNvSpPr>
      </xdr:nvSpPr>
      <xdr:spPr bwMode="auto">
        <a:xfrm>
          <a:off x="24022050" y="116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304800</xdr:colOff>
      <xdr:row>21</xdr:row>
      <xdr:rowOff>304800</xdr:rowOff>
    </xdr:to>
    <xdr:sp macro="" textlink="">
      <xdr:nvSpPr>
        <xdr:cNvPr id="11319" name="AutoShape 55" descr="D:\work\USB\USB2\RL6470&amp;RLE0799\CTS\"/>
        <xdr:cNvSpPr>
          <a:spLocks noChangeAspect="1" noChangeArrowheads="1"/>
        </xdr:cNvSpPr>
      </xdr:nvSpPr>
      <xdr:spPr bwMode="auto">
        <a:xfrm>
          <a:off x="2402205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304800</xdr:colOff>
      <xdr:row>22</xdr:row>
      <xdr:rowOff>304800</xdr:rowOff>
    </xdr:to>
    <xdr:sp macro="" textlink="">
      <xdr:nvSpPr>
        <xdr:cNvPr id="11320" name="AutoShape 56" descr="D:\work\USB\USB2\RL6470&amp;RLE0799\CTS\"/>
        <xdr:cNvSpPr>
          <a:spLocks noChangeAspect="1" noChangeArrowheads="1"/>
        </xdr:cNvSpPr>
      </xdr:nvSpPr>
      <xdr:spPr bwMode="auto">
        <a:xfrm>
          <a:off x="24022050" y="135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304800</xdr:colOff>
      <xdr:row>23</xdr:row>
      <xdr:rowOff>304800</xdr:rowOff>
    </xdr:to>
    <xdr:sp macro="" textlink="">
      <xdr:nvSpPr>
        <xdr:cNvPr id="11321" name="AutoShape 57" descr="D:\work\USB\USB2\RL6470&amp;RLE0799\CTS\"/>
        <xdr:cNvSpPr>
          <a:spLocks noChangeAspect="1" noChangeArrowheads="1"/>
        </xdr:cNvSpPr>
      </xdr:nvSpPr>
      <xdr:spPr bwMode="auto">
        <a:xfrm>
          <a:off x="2402205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304800</xdr:colOff>
      <xdr:row>24</xdr:row>
      <xdr:rowOff>304800</xdr:rowOff>
    </xdr:to>
    <xdr:sp macro="" textlink="">
      <xdr:nvSpPr>
        <xdr:cNvPr id="11322" name="AutoShape 58" descr="D:\work\USB\USB2\RL6470&amp;RLE0799\CTS\"/>
        <xdr:cNvSpPr>
          <a:spLocks noChangeAspect="1" noChangeArrowheads="1"/>
        </xdr:cNvSpPr>
      </xdr:nvSpPr>
      <xdr:spPr bwMode="auto">
        <a:xfrm>
          <a:off x="240220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304800</xdr:colOff>
      <xdr:row>25</xdr:row>
      <xdr:rowOff>304800</xdr:rowOff>
    </xdr:to>
    <xdr:sp macro="" textlink="">
      <xdr:nvSpPr>
        <xdr:cNvPr id="11323" name="AutoShape 59" descr="D:\work\USB\USB2\RL6470&amp;RLE0799\CTS\"/>
        <xdr:cNvSpPr>
          <a:spLocks noChangeAspect="1" noChangeArrowheads="1"/>
        </xdr:cNvSpPr>
      </xdr:nvSpPr>
      <xdr:spPr bwMode="auto">
        <a:xfrm>
          <a:off x="24022050" y="160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304800</xdr:colOff>
      <xdr:row>26</xdr:row>
      <xdr:rowOff>304800</xdr:rowOff>
    </xdr:to>
    <xdr:sp macro="" textlink="">
      <xdr:nvSpPr>
        <xdr:cNvPr id="11324" name="AutoShape 60" descr="D:\work\USB\USB2\RL6470&amp;RLE0799\CTS\"/>
        <xdr:cNvSpPr>
          <a:spLocks noChangeAspect="1" noChangeArrowheads="1"/>
        </xdr:cNvSpPr>
      </xdr:nvSpPr>
      <xdr:spPr bwMode="auto">
        <a:xfrm>
          <a:off x="24022050" y="165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304800</xdr:colOff>
      <xdr:row>27</xdr:row>
      <xdr:rowOff>304800</xdr:rowOff>
    </xdr:to>
    <xdr:sp macro="" textlink="">
      <xdr:nvSpPr>
        <xdr:cNvPr id="11325" name="AutoShape 61" descr="D:\work\USB\USB2\RL6470&amp;RLE0799\CTS\"/>
        <xdr:cNvSpPr>
          <a:spLocks noChangeAspect="1" noChangeArrowheads="1"/>
        </xdr:cNvSpPr>
      </xdr:nvSpPr>
      <xdr:spPr bwMode="auto">
        <a:xfrm>
          <a:off x="24022050" y="175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304800</xdr:colOff>
      <xdr:row>28</xdr:row>
      <xdr:rowOff>304800</xdr:rowOff>
    </xdr:to>
    <xdr:sp macro="" textlink="">
      <xdr:nvSpPr>
        <xdr:cNvPr id="11326" name="AutoShape 62" descr="D:\work\USB\USB2\RL6470&amp;RLE0799\CTS\"/>
        <xdr:cNvSpPr>
          <a:spLocks noChangeAspect="1" noChangeArrowheads="1"/>
        </xdr:cNvSpPr>
      </xdr:nvSpPr>
      <xdr:spPr bwMode="auto">
        <a:xfrm>
          <a:off x="24022050" y="182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304800</xdr:colOff>
      <xdr:row>29</xdr:row>
      <xdr:rowOff>304800</xdr:rowOff>
    </xdr:to>
    <xdr:sp macro="" textlink="">
      <xdr:nvSpPr>
        <xdr:cNvPr id="11327" name="AutoShape 63" descr="D:\work\USB\USB2\RL6470&amp;RLE0799\CTS\"/>
        <xdr:cNvSpPr>
          <a:spLocks noChangeAspect="1" noChangeArrowheads="1"/>
        </xdr:cNvSpPr>
      </xdr:nvSpPr>
      <xdr:spPr bwMode="auto">
        <a:xfrm>
          <a:off x="240220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485775</xdr:colOff>
      <xdr:row>31</xdr:row>
      <xdr:rowOff>147637</xdr:rowOff>
    </xdr:from>
    <xdr:to>
      <xdr:col>5</xdr:col>
      <xdr:colOff>637446</xdr:colOff>
      <xdr:row>56</xdr:row>
      <xdr:rowOff>118530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20340637"/>
          <a:ext cx="5842859" cy="4138081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31</xdr:row>
      <xdr:rowOff>95250</xdr:rowOff>
    </xdr:from>
    <xdr:to>
      <xdr:col>16</xdr:col>
      <xdr:colOff>780325</xdr:colOff>
      <xdr:row>56</xdr:row>
      <xdr:rowOff>75667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59025" y="20250150"/>
          <a:ext cx="5800000" cy="4266667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32</xdr:row>
      <xdr:rowOff>9525</xdr:rowOff>
    </xdr:from>
    <xdr:to>
      <xdr:col>26</xdr:col>
      <xdr:colOff>646973</xdr:colOff>
      <xdr:row>56</xdr:row>
      <xdr:rowOff>170915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74625" y="20335875"/>
          <a:ext cx="5819048" cy="4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../CTS/" TargetMode="External"/><Relationship Id="rId18" Type="http://schemas.openxmlformats.org/officeDocument/2006/relationships/hyperlink" Target="../CTS/" TargetMode="External"/><Relationship Id="rId26" Type="http://schemas.openxmlformats.org/officeDocument/2006/relationships/hyperlink" Target="../CTS/" TargetMode="External"/><Relationship Id="rId39" Type="http://schemas.openxmlformats.org/officeDocument/2006/relationships/hyperlink" Target="../CTS/" TargetMode="External"/><Relationship Id="rId21" Type="http://schemas.openxmlformats.org/officeDocument/2006/relationships/hyperlink" Target="../CTS/" TargetMode="External"/><Relationship Id="rId34" Type="http://schemas.openxmlformats.org/officeDocument/2006/relationships/hyperlink" Target="../CTS/" TargetMode="External"/><Relationship Id="rId42" Type="http://schemas.openxmlformats.org/officeDocument/2006/relationships/hyperlink" Target="../CTS/" TargetMode="External"/><Relationship Id="rId47" Type="http://schemas.openxmlformats.org/officeDocument/2006/relationships/hyperlink" Target="../CTS/" TargetMode="External"/><Relationship Id="rId50" Type="http://schemas.openxmlformats.org/officeDocument/2006/relationships/hyperlink" Target="../CTS/" TargetMode="External"/><Relationship Id="rId55" Type="http://schemas.openxmlformats.org/officeDocument/2006/relationships/hyperlink" Target="../CTS/" TargetMode="External"/><Relationship Id="rId63" Type="http://schemas.openxmlformats.org/officeDocument/2006/relationships/hyperlink" Target="../CTS/" TargetMode="External"/><Relationship Id="rId7" Type="http://schemas.openxmlformats.org/officeDocument/2006/relationships/hyperlink" Target="../CTS/" TargetMode="External"/><Relationship Id="rId2" Type="http://schemas.openxmlformats.org/officeDocument/2006/relationships/hyperlink" Target="../CTS/" TargetMode="External"/><Relationship Id="rId16" Type="http://schemas.openxmlformats.org/officeDocument/2006/relationships/hyperlink" Target="../CTS/" TargetMode="External"/><Relationship Id="rId20" Type="http://schemas.openxmlformats.org/officeDocument/2006/relationships/hyperlink" Target="../CTS/" TargetMode="External"/><Relationship Id="rId29" Type="http://schemas.openxmlformats.org/officeDocument/2006/relationships/hyperlink" Target="../CTS/" TargetMode="External"/><Relationship Id="rId41" Type="http://schemas.openxmlformats.org/officeDocument/2006/relationships/hyperlink" Target="../CTS/" TargetMode="External"/><Relationship Id="rId54" Type="http://schemas.openxmlformats.org/officeDocument/2006/relationships/hyperlink" Target="../CTS/" TargetMode="External"/><Relationship Id="rId62" Type="http://schemas.openxmlformats.org/officeDocument/2006/relationships/hyperlink" Target="../CTS/" TargetMode="External"/><Relationship Id="rId1" Type="http://schemas.openxmlformats.org/officeDocument/2006/relationships/hyperlink" Target="../CTS/" TargetMode="External"/><Relationship Id="rId6" Type="http://schemas.openxmlformats.org/officeDocument/2006/relationships/hyperlink" Target="../CTS/" TargetMode="External"/><Relationship Id="rId11" Type="http://schemas.openxmlformats.org/officeDocument/2006/relationships/hyperlink" Target="../CTS/" TargetMode="External"/><Relationship Id="rId24" Type="http://schemas.openxmlformats.org/officeDocument/2006/relationships/hyperlink" Target="../CTS/" TargetMode="External"/><Relationship Id="rId32" Type="http://schemas.openxmlformats.org/officeDocument/2006/relationships/hyperlink" Target="../CTS/" TargetMode="External"/><Relationship Id="rId37" Type="http://schemas.openxmlformats.org/officeDocument/2006/relationships/hyperlink" Target="../CTS/" TargetMode="External"/><Relationship Id="rId40" Type="http://schemas.openxmlformats.org/officeDocument/2006/relationships/hyperlink" Target="../CTS/" TargetMode="External"/><Relationship Id="rId45" Type="http://schemas.openxmlformats.org/officeDocument/2006/relationships/hyperlink" Target="../CTS/" TargetMode="External"/><Relationship Id="rId53" Type="http://schemas.openxmlformats.org/officeDocument/2006/relationships/hyperlink" Target="../CTS/" TargetMode="External"/><Relationship Id="rId58" Type="http://schemas.openxmlformats.org/officeDocument/2006/relationships/hyperlink" Target="../CTS/" TargetMode="External"/><Relationship Id="rId5" Type="http://schemas.openxmlformats.org/officeDocument/2006/relationships/hyperlink" Target="../CTS/" TargetMode="External"/><Relationship Id="rId15" Type="http://schemas.openxmlformats.org/officeDocument/2006/relationships/hyperlink" Target="../CTS/" TargetMode="External"/><Relationship Id="rId23" Type="http://schemas.openxmlformats.org/officeDocument/2006/relationships/hyperlink" Target="../CTS/" TargetMode="External"/><Relationship Id="rId28" Type="http://schemas.openxmlformats.org/officeDocument/2006/relationships/hyperlink" Target="../CTS/" TargetMode="External"/><Relationship Id="rId36" Type="http://schemas.openxmlformats.org/officeDocument/2006/relationships/hyperlink" Target="../CTS/" TargetMode="External"/><Relationship Id="rId49" Type="http://schemas.openxmlformats.org/officeDocument/2006/relationships/hyperlink" Target="../CTS/" TargetMode="External"/><Relationship Id="rId57" Type="http://schemas.openxmlformats.org/officeDocument/2006/relationships/hyperlink" Target="../CTS/" TargetMode="External"/><Relationship Id="rId61" Type="http://schemas.openxmlformats.org/officeDocument/2006/relationships/hyperlink" Target="../CTS/" TargetMode="External"/><Relationship Id="rId10" Type="http://schemas.openxmlformats.org/officeDocument/2006/relationships/hyperlink" Target="../CTS/" TargetMode="External"/><Relationship Id="rId19" Type="http://schemas.openxmlformats.org/officeDocument/2006/relationships/hyperlink" Target="../CTS/" TargetMode="External"/><Relationship Id="rId31" Type="http://schemas.openxmlformats.org/officeDocument/2006/relationships/hyperlink" Target="../CTS/" TargetMode="External"/><Relationship Id="rId44" Type="http://schemas.openxmlformats.org/officeDocument/2006/relationships/hyperlink" Target="../CTS/" TargetMode="External"/><Relationship Id="rId52" Type="http://schemas.openxmlformats.org/officeDocument/2006/relationships/hyperlink" Target="../CTS/" TargetMode="External"/><Relationship Id="rId60" Type="http://schemas.openxmlformats.org/officeDocument/2006/relationships/hyperlink" Target="../CTS/" TargetMode="External"/><Relationship Id="rId4" Type="http://schemas.openxmlformats.org/officeDocument/2006/relationships/hyperlink" Target="../CTS/" TargetMode="External"/><Relationship Id="rId9" Type="http://schemas.openxmlformats.org/officeDocument/2006/relationships/hyperlink" Target="../CTS/" TargetMode="External"/><Relationship Id="rId14" Type="http://schemas.openxmlformats.org/officeDocument/2006/relationships/hyperlink" Target="../CTS/" TargetMode="External"/><Relationship Id="rId22" Type="http://schemas.openxmlformats.org/officeDocument/2006/relationships/hyperlink" Target="../CTS/" TargetMode="External"/><Relationship Id="rId27" Type="http://schemas.openxmlformats.org/officeDocument/2006/relationships/hyperlink" Target="../CTS/" TargetMode="External"/><Relationship Id="rId30" Type="http://schemas.openxmlformats.org/officeDocument/2006/relationships/hyperlink" Target="../CTS/" TargetMode="External"/><Relationship Id="rId35" Type="http://schemas.openxmlformats.org/officeDocument/2006/relationships/hyperlink" Target="../CTS/" TargetMode="External"/><Relationship Id="rId43" Type="http://schemas.openxmlformats.org/officeDocument/2006/relationships/hyperlink" Target="../CTS/" TargetMode="External"/><Relationship Id="rId48" Type="http://schemas.openxmlformats.org/officeDocument/2006/relationships/hyperlink" Target="../CTS/" TargetMode="External"/><Relationship Id="rId56" Type="http://schemas.openxmlformats.org/officeDocument/2006/relationships/hyperlink" Target="../CTS/" TargetMode="External"/><Relationship Id="rId64" Type="http://schemas.openxmlformats.org/officeDocument/2006/relationships/drawing" Target="../drawings/drawing3.xml"/><Relationship Id="rId8" Type="http://schemas.openxmlformats.org/officeDocument/2006/relationships/hyperlink" Target="../CTS/" TargetMode="External"/><Relationship Id="rId51" Type="http://schemas.openxmlformats.org/officeDocument/2006/relationships/hyperlink" Target="../CTS/" TargetMode="External"/><Relationship Id="rId3" Type="http://schemas.openxmlformats.org/officeDocument/2006/relationships/hyperlink" Target="../CTS/" TargetMode="External"/><Relationship Id="rId12" Type="http://schemas.openxmlformats.org/officeDocument/2006/relationships/hyperlink" Target="../CTS/" TargetMode="External"/><Relationship Id="rId17" Type="http://schemas.openxmlformats.org/officeDocument/2006/relationships/hyperlink" Target="../CTS/" TargetMode="External"/><Relationship Id="rId25" Type="http://schemas.openxmlformats.org/officeDocument/2006/relationships/hyperlink" Target="../CTS/" TargetMode="External"/><Relationship Id="rId33" Type="http://schemas.openxmlformats.org/officeDocument/2006/relationships/hyperlink" Target="../CTS/" TargetMode="External"/><Relationship Id="rId38" Type="http://schemas.openxmlformats.org/officeDocument/2006/relationships/hyperlink" Target="../CTS/" TargetMode="External"/><Relationship Id="rId46" Type="http://schemas.openxmlformats.org/officeDocument/2006/relationships/hyperlink" Target="../CTS/" TargetMode="External"/><Relationship Id="rId59" Type="http://schemas.openxmlformats.org/officeDocument/2006/relationships/hyperlink" Target="../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zoomScaleNormal="100" workbookViewId="0">
      <selection activeCell="C6" sqref="C6"/>
    </sheetView>
  </sheetViews>
  <sheetFormatPr defaultRowHeight="14.4"/>
  <cols>
    <col min="1" max="1" width="16.44140625" customWidth="1"/>
    <col min="2" max="2" width="19.44140625" customWidth="1"/>
    <col min="3" max="3" width="53.6640625" customWidth="1"/>
    <col min="4" max="4" width="44.21875" customWidth="1"/>
    <col min="5" max="5" width="34.44140625" customWidth="1"/>
    <col min="6" max="6" width="30.21875" customWidth="1"/>
    <col min="7" max="7" width="23.21875" customWidth="1"/>
    <col min="8" max="8" width="28.109375" customWidth="1"/>
  </cols>
  <sheetData>
    <row r="1" spans="1:17">
      <c r="A1" s="73" t="s">
        <v>330</v>
      </c>
      <c r="B1" s="3" t="s">
        <v>22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74"/>
      <c r="B2" s="5" t="s">
        <v>23</v>
      </c>
      <c r="C2" s="6" t="s">
        <v>27</v>
      </c>
      <c r="D2" s="6" t="s">
        <v>28</v>
      </c>
      <c r="E2" s="7" t="s">
        <v>30</v>
      </c>
      <c r="F2" s="7" t="s">
        <v>87</v>
      </c>
      <c r="G2" s="7" t="s">
        <v>226</v>
      </c>
      <c r="H2" s="7" t="s">
        <v>228</v>
      </c>
      <c r="I2" s="7"/>
      <c r="J2" s="7"/>
      <c r="K2" s="7"/>
      <c r="L2" s="7"/>
      <c r="M2" s="7"/>
      <c r="N2" s="7"/>
      <c r="O2" s="7"/>
      <c r="P2" s="7"/>
      <c r="Q2" s="7"/>
    </row>
    <row r="3" spans="1:17">
      <c r="A3" s="74"/>
      <c r="B3" s="5" t="s">
        <v>24</v>
      </c>
      <c r="C3" s="7"/>
      <c r="D3" s="7"/>
      <c r="E3" s="7"/>
      <c r="F3" s="7" t="s">
        <v>88</v>
      </c>
      <c r="G3" s="7" t="s">
        <v>227</v>
      </c>
      <c r="H3" s="7" t="s">
        <v>229</v>
      </c>
      <c r="I3" s="7"/>
      <c r="J3" s="7"/>
      <c r="K3" s="7"/>
      <c r="L3" s="7"/>
      <c r="M3" s="7"/>
      <c r="N3" s="7"/>
      <c r="O3" s="7"/>
      <c r="P3" s="7"/>
      <c r="Q3" s="7"/>
    </row>
    <row r="4" spans="1:17" ht="328.5" customHeight="1">
      <c r="A4" s="8" t="s">
        <v>25</v>
      </c>
      <c r="B4" s="9"/>
      <c r="C4" s="10" t="s">
        <v>26</v>
      </c>
      <c r="D4" s="10" t="s">
        <v>29</v>
      </c>
      <c r="E4" s="12" t="s">
        <v>31</v>
      </c>
      <c r="F4" s="11" t="s">
        <v>89</v>
      </c>
      <c r="G4" s="11" t="s">
        <v>230</v>
      </c>
      <c r="H4" s="11" t="s">
        <v>231</v>
      </c>
      <c r="I4" s="11"/>
      <c r="J4" s="11"/>
      <c r="K4" s="11"/>
      <c r="L4" s="11"/>
      <c r="M4" s="11"/>
      <c r="N4" s="11"/>
      <c r="O4" s="11"/>
      <c r="P4" s="11"/>
      <c r="Q4" s="11"/>
    </row>
  </sheetData>
  <mergeCells count="1">
    <mergeCell ref="A1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zoomScale="85" zoomScaleNormal="85" workbookViewId="0">
      <selection activeCell="D27" sqref="D27"/>
    </sheetView>
  </sheetViews>
  <sheetFormatPr defaultRowHeight="14.4"/>
  <cols>
    <col min="1" max="1" width="23.21875" customWidth="1"/>
    <col min="2" max="2" width="21" customWidth="1"/>
    <col min="4" max="4" width="14" customWidth="1"/>
    <col min="5" max="5" width="17.77734375" customWidth="1"/>
    <col min="6" max="6" width="18.6640625" customWidth="1"/>
    <col min="7" max="7" width="20.6640625" customWidth="1"/>
    <col min="8" max="8" width="38.33203125" customWidth="1"/>
    <col min="9" max="9" width="22" customWidth="1"/>
    <col min="10" max="10" width="22.77734375" customWidth="1"/>
    <col min="16" max="16" width="26" customWidth="1"/>
  </cols>
  <sheetData>
    <row r="1" spans="1:16" ht="45">
      <c r="A1" s="47" t="s">
        <v>187</v>
      </c>
      <c r="B1" s="47" t="s">
        <v>186</v>
      </c>
      <c r="C1" s="46" t="s">
        <v>185</v>
      </c>
      <c r="D1" s="46" t="s">
        <v>188</v>
      </c>
      <c r="E1" s="47" t="s">
        <v>184</v>
      </c>
      <c r="F1" s="46" t="s">
        <v>183</v>
      </c>
      <c r="G1" s="46" t="s">
        <v>182</v>
      </c>
      <c r="H1" s="46" t="s">
        <v>181</v>
      </c>
      <c r="I1" s="46" t="s">
        <v>180</v>
      </c>
      <c r="J1" s="46" t="s">
        <v>179</v>
      </c>
      <c r="K1" s="46" t="s">
        <v>178</v>
      </c>
      <c r="L1" s="46" t="s">
        <v>177</v>
      </c>
      <c r="M1" s="46" t="s">
        <v>176</v>
      </c>
      <c r="N1" s="46" t="s">
        <v>175</v>
      </c>
      <c r="O1" s="46" t="s">
        <v>174</v>
      </c>
      <c r="P1" s="46" t="s">
        <v>173</v>
      </c>
    </row>
    <row r="2" spans="1:16" ht="96" customHeight="1">
      <c r="A2" s="75" t="s">
        <v>172</v>
      </c>
      <c r="B2" s="76" t="s">
        <v>171</v>
      </c>
      <c r="C2" s="36">
        <v>1</v>
      </c>
      <c r="D2" s="49" t="s">
        <v>223</v>
      </c>
      <c r="E2" s="35" t="s">
        <v>164</v>
      </c>
      <c r="F2" s="48" t="s">
        <v>152</v>
      </c>
      <c r="G2" s="34" t="s">
        <v>170</v>
      </c>
      <c r="H2" s="40" t="s">
        <v>169</v>
      </c>
      <c r="I2" s="45" t="s">
        <v>168</v>
      </c>
      <c r="J2" s="30"/>
      <c r="K2" s="30">
        <v>1.1000000000000001</v>
      </c>
      <c r="L2" s="30">
        <v>3.3</v>
      </c>
      <c r="M2" s="30">
        <v>25</v>
      </c>
      <c r="N2" s="30">
        <v>1</v>
      </c>
      <c r="O2" s="30" t="s">
        <v>128</v>
      </c>
      <c r="P2" s="29" t="s">
        <v>158</v>
      </c>
    </row>
    <row r="3" spans="1:16" ht="121.5" customHeight="1">
      <c r="A3" s="75"/>
      <c r="B3" s="76"/>
      <c r="C3" s="44">
        <v>2</v>
      </c>
      <c r="D3" s="49" t="s">
        <v>224</v>
      </c>
      <c r="E3" s="35" t="s">
        <v>122</v>
      </c>
      <c r="F3" s="49" t="s">
        <v>121</v>
      </c>
      <c r="G3" s="34" t="s">
        <v>167</v>
      </c>
      <c r="H3" s="40" t="s">
        <v>166</v>
      </c>
      <c r="I3" s="40"/>
      <c r="J3" s="30" t="s">
        <v>165</v>
      </c>
      <c r="K3" s="30">
        <v>1.1000000000000001</v>
      </c>
      <c r="L3" s="30">
        <v>3.3</v>
      </c>
      <c r="M3" s="30">
        <v>25</v>
      </c>
      <c r="N3" s="30">
        <v>20</v>
      </c>
      <c r="O3" s="30" t="s">
        <v>128</v>
      </c>
      <c r="P3" s="34"/>
    </row>
    <row r="4" spans="1:16" ht="48.75" customHeight="1">
      <c r="A4" s="75"/>
      <c r="B4" s="76"/>
      <c r="C4" s="36">
        <v>3</v>
      </c>
      <c r="D4" s="49" t="s">
        <v>189</v>
      </c>
      <c r="E4" s="35" t="s">
        <v>164</v>
      </c>
      <c r="F4" s="49" t="s">
        <v>121</v>
      </c>
      <c r="G4" s="34" t="s">
        <v>141</v>
      </c>
      <c r="H4" s="40" t="s">
        <v>163</v>
      </c>
      <c r="I4" s="40"/>
      <c r="J4" s="39" t="s">
        <v>139</v>
      </c>
      <c r="K4" s="30">
        <v>1.1000000000000001</v>
      </c>
      <c r="L4" s="30">
        <v>3.3</v>
      </c>
      <c r="M4" s="30">
        <v>25</v>
      </c>
      <c r="N4" s="30">
        <v>3</v>
      </c>
      <c r="O4" s="30" t="s">
        <v>128</v>
      </c>
      <c r="P4" s="34"/>
    </row>
    <row r="5" spans="1:16" ht="15.6">
      <c r="A5" s="75"/>
      <c r="B5" s="76"/>
      <c r="C5" s="36">
        <v>4</v>
      </c>
      <c r="D5" s="49" t="s">
        <v>190</v>
      </c>
      <c r="E5" s="35" t="s">
        <v>122</v>
      </c>
      <c r="F5" s="49" t="s">
        <v>121</v>
      </c>
      <c r="G5" s="34" t="s">
        <v>126</v>
      </c>
      <c r="H5" s="40" t="s">
        <v>162</v>
      </c>
      <c r="I5" s="40"/>
      <c r="J5" s="30" t="s">
        <v>124</v>
      </c>
      <c r="K5" s="30">
        <v>1.1000000000000001</v>
      </c>
      <c r="L5" s="30">
        <v>3.3</v>
      </c>
      <c r="M5" s="30">
        <v>25</v>
      </c>
      <c r="N5" s="30">
        <v>3</v>
      </c>
      <c r="O5" s="30" t="s">
        <v>128</v>
      </c>
      <c r="P5" s="29"/>
    </row>
    <row r="6" spans="1:16" ht="143.25" customHeight="1">
      <c r="A6" s="75"/>
      <c r="B6" s="76" t="s">
        <v>161</v>
      </c>
      <c r="C6" s="36">
        <v>1</v>
      </c>
      <c r="D6" s="49" t="s">
        <v>225</v>
      </c>
      <c r="E6" s="35" t="s">
        <v>122</v>
      </c>
      <c r="F6" s="49" t="s">
        <v>121</v>
      </c>
      <c r="G6" s="34" t="s">
        <v>160</v>
      </c>
      <c r="H6" s="40" t="s">
        <v>159</v>
      </c>
      <c r="I6" s="40"/>
      <c r="J6" s="30" t="s">
        <v>136</v>
      </c>
      <c r="K6" s="30" t="s">
        <v>117</v>
      </c>
      <c r="L6" s="39" t="s">
        <v>116</v>
      </c>
      <c r="M6" s="38" t="s">
        <v>129</v>
      </c>
      <c r="N6" s="30">
        <v>3</v>
      </c>
      <c r="O6" s="30" t="s">
        <v>128</v>
      </c>
      <c r="P6" s="29" t="s">
        <v>158</v>
      </c>
    </row>
    <row r="7" spans="1:16" ht="168.75" customHeight="1">
      <c r="A7" s="75"/>
      <c r="B7" s="76"/>
      <c r="C7" s="36">
        <v>2</v>
      </c>
      <c r="D7" s="49"/>
      <c r="E7" s="35" t="s">
        <v>155</v>
      </c>
      <c r="F7" s="49" t="s">
        <v>157</v>
      </c>
      <c r="G7" s="34" t="s">
        <v>135</v>
      </c>
      <c r="H7" s="33" t="s">
        <v>156</v>
      </c>
      <c r="I7" s="29"/>
      <c r="J7" s="30" t="s">
        <v>133</v>
      </c>
      <c r="K7" s="30">
        <v>1.1000000000000001</v>
      </c>
      <c r="L7" s="30">
        <v>3.3</v>
      </c>
      <c r="M7" s="30">
        <v>25</v>
      </c>
      <c r="N7" s="30">
        <v>3</v>
      </c>
      <c r="O7" s="30" t="s">
        <v>128</v>
      </c>
      <c r="P7" s="34"/>
    </row>
    <row r="8" spans="1:16" ht="163.5" customHeight="1">
      <c r="A8" s="75"/>
      <c r="B8" s="76"/>
      <c r="C8" s="36">
        <v>3</v>
      </c>
      <c r="D8" s="49" t="s">
        <v>190</v>
      </c>
      <c r="E8" s="35" t="s">
        <v>122</v>
      </c>
      <c r="F8" s="49" t="s">
        <v>121</v>
      </c>
      <c r="G8" s="34" t="s">
        <v>132</v>
      </c>
      <c r="H8" s="40" t="s">
        <v>154</v>
      </c>
      <c r="I8" s="29"/>
      <c r="J8" s="30" t="s">
        <v>130</v>
      </c>
      <c r="K8" s="30">
        <v>1.1000000000000001</v>
      </c>
      <c r="L8" s="30">
        <v>3.3</v>
      </c>
      <c r="M8" s="30">
        <v>25</v>
      </c>
      <c r="N8" s="30">
        <v>3</v>
      </c>
      <c r="O8" s="30" t="s">
        <v>128</v>
      </c>
      <c r="P8" s="34"/>
    </row>
    <row r="9" spans="1:16" ht="96" customHeight="1">
      <c r="A9" s="75"/>
      <c r="B9" s="43" t="s">
        <v>153</v>
      </c>
      <c r="C9" s="36">
        <v>4</v>
      </c>
      <c r="D9" s="49"/>
      <c r="E9" s="35" t="s">
        <v>122</v>
      </c>
      <c r="F9" s="48" t="s">
        <v>152</v>
      </c>
      <c r="G9" s="34" t="s">
        <v>151</v>
      </c>
      <c r="H9" s="33" t="s">
        <v>150</v>
      </c>
      <c r="I9" s="33"/>
      <c r="J9" s="30"/>
      <c r="K9" s="30" t="s">
        <v>117</v>
      </c>
      <c r="L9" s="30" t="s">
        <v>116</v>
      </c>
      <c r="M9" s="30">
        <v>25</v>
      </c>
      <c r="N9" s="30">
        <v>3</v>
      </c>
      <c r="O9" s="30" t="s">
        <v>128</v>
      </c>
      <c r="P9" s="29" t="s">
        <v>149</v>
      </c>
    </row>
    <row r="10" spans="1:16" ht="30.6">
      <c r="A10" s="42" t="s">
        <v>148</v>
      </c>
      <c r="B10" s="41" t="s">
        <v>147</v>
      </c>
      <c r="C10" s="36">
        <v>1</v>
      </c>
      <c r="D10" s="49" t="s">
        <v>190</v>
      </c>
      <c r="E10" s="35" t="s">
        <v>122</v>
      </c>
      <c r="F10" s="49" t="s">
        <v>121</v>
      </c>
      <c r="G10" s="34" t="s">
        <v>146</v>
      </c>
      <c r="H10" s="33" t="s">
        <v>145</v>
      </c>
      <c r="I10" s="33"/>
      <c r="J10" s="39" t="s">
        <v>139</v>
      </c>
      <c r="K10" s="30">
        <v>1.1000000000000001</v>
      </c>
      <c r="L10" s="30">
        <v>3.3</v>
      </c>
      <c r="M10" s="30">
        <v>25</v>
      </c>
      <c r="N10" s="30">
        <v>3</v>
      </c>
      <c r="O10" s="30" t="s">
        <v>128</v>
      </c>
      <c r="P10" s="29" t="s">
        <v>144</v>
      </c>
    </row>
    <row r="11" spans="1:16" ht="30">
      <c r="A11" s="77" t="s">
        <v>143</v>
      </c>
      <c r="B11" s="78" t="s">
        <v>142</v>
      </c>
      <c r="C11" s="36">
        <v>1</v>
      </c>
      <c r="D11" s="49"/>
      <c r="E11" s="35" t="s">
        <v>122</v>
      </c>
      <c r="F11" s="49" t="s">
        <v>121</v>
      </c>
      <c r="G11" s="34" t="s">
        <v>141</v>
      </c>
      <c r="H11" s="33" t="s">
        <v>140</v>
      </c>
      <c r="I11" s="33"/>
      <c r="J11" s="39" t="s">
        <v>139</v>
      </c>
      <c r="K11" s="30" t="s">
        <v>117</v>
      </c>
      <c r="L11" s="39" t="s">
        <v>116</v>
      </c>
      <c r="M11" s="38" t="s">
        <v>129</v>
      </c>
      <c r="N11" s="30">
        <v>20</v>
      </c>
      <c r="O11" s="30" t="s">
        <v>128</v>
      </c>
      <c r="P11" s="29"/>
    </row>
    <row r="12" spans="1:16" ht="30">
      <c r="A12" s="77"/>
      <c r="B12" s="78"/>
      <c r="C12" s="36">
        <v>2</v>
      </c>
      <c r="D12" s="49"/>
      <c r="E12" s="35" t="s">
        <v>122</v>
      </c>
      <c r="F12" s="49" t="s">
        <v>121</v>
      </c>
      <c r="G12" s="34" t="s">
        <v>138</v>
      </c>
      <c r="H12" s="33" t="s">
        <v>137</v>
      </c>
      <c r="I12" s="33"/>
      <c r="J12" s="30" t="s">
        <v>136</v>
      </c>
      <c r="K12" s="30" t="s">
        <v>117</v>
      </c>
      <c r="L12" s="39" t="s">
        <v>116</v>
      </c>
      <c r="M12" s="38" t="s">
        <v>129</v>
      </c>
      <c r="N12" s="30">
        <v>20</v>
      </c>
      <c r="O12" s="30" t="s">
        <v>128</v>
      </c>
      <c r="P12" s="29"/>
    </row>
    <row r="13" spans="1:16" ht="30">
      <c r="A13" s="77"/>
      <c r="B13" s="78"/>
      <c r="C13" s="36">
        <v>3</v>
      </c>
      <c r="D13" s="49"/>
      <c r="E13" s="35" t="s">
        <v>155</v>
      </c>
      <c r="F13" s="49" t="s">
        <v>121</v>
      </c>
      <c r="G13" s="34" t="s">
        <v>135</v>
      </c>
      <c r="H13" s="33" t="s">
        <v>134</v>
      </c>
      <c r="I13" s="33"/>
      <c r="J13" s="30" t="s">
        <v>133</v>
      </c>
      <c r="K13" s="30" t="s">
        <v>117</v>
      </c>
      <c r="L13" s="39" t="s">
        <v>116</v>
      </c>
      <c r="M13" s="38" t="s">
        <v>129</v>
      </c>
      <c r="N13" s="30">
        <v>20</v>
      </c>
      <c r="O13" s="30" t="s">
        <v>128</v>
      </c>
      <c r="P13" s="29"/>
    </row>
    <row r="14" spans="1:16" ht="30">
      <c r="A14" s="77"/>
      <c r="B14" s="78"/>
      <c r="C14" s="36">
        <v>4</v>
      </c>
      <c r="D14" s="49"/>
      <c r="E14" s="35" t="s">
        <v>122</v>
      </c>
      <c r="F14" s="49" t="s">
        <v>121</v>
      </c>
      <c r="G14" s="34" t="s">
        <v>132</v>
      </c>
      <c r="H14" s="40" t="s">
        <v>131</v>
      </c>
      <c r="I14" s="29"/>
      <c r="J14" s="30" t="s">
        <v>130</v>
      </c>
      <c r="K14" s="30" t="s">
        <v>117</v>
      </c>
      <c r="L14" s="39" t="s">
        <v>116</v>
      </c>
      <c r="M14" s="38" t="s">
        <v>129</v>
      </c>
      <c r="N14" s="30">
        <v>20</v>
      </c>
      <c r="O14" s="30" t="s">
        <v>128</v>
      </c>
      <c r="P14" s="29"/>
    </row>
    <row r="15" spans="1:16" ht="30">
      <c r="A15" s="77"/>
      <c r="B15" s="37" t="s">
        <v>127</v>
      </c>
      <c r="C15" s="36">
        <v>1</v>
      </c>
      <c r="D15" s="49"/>
      <c r="E15" s="35" t="s">
        <v>122</v>
      </c>
      <c r="F15" s="49" t="s">
        <v>121</v>
      </c>
      <c r="G15" s="34" t="s">
        <v>126</v>
      </c>
      <c r="H15" s="33" t="s">
        <v>125</v>
      </c>
      <c r="I15" s="32"/>
      <c r="J15" s="30" t="s">
        <v>124</v>
      </c>
      <c r="K15" s="30" t="s">
        <v>117</v>
      </c>
      <c r="L15" s="30" t="s">
        <v>116</v>
      </c>
      <c r="M15" s="30">
        <v>25</v>
      </c>
      <c r="N15" s="30">
        <v>100</v>
      </c>
      <c r="O15" s="30" t="s">
        <v>115</v>
      </c>
      <c r="P15" s="29"/>
    </row>
    <row r="16" spans="1:16" ht="30">
      <c r="A16" s="77"/>
      <c r="B16" s="37" t="s">
        <v>123</v>
      </c>
      <c r="C16" s="36">
        <v>1</v>
      </c>
      <c r="D16" s="49"/>
      <c r="E16" s="35" t="s">
        <v>122</v>
      </c>
      <c r="F16" s="49" t="s">
        <v>121</v>
      </c>
      <c r="G16" s="34" t="s">
        <v>120</v>
      </c>
      <c r="H16" s="33" t="s">
        <v>119</v>
      </c>
      <c r="I16" s="32"/>
      <c r="J16" s="31" t="s">
        <v>118</v>
      </c>
      <c r="K16" s="30" t="s">
        <v>117</v>
      </c>
      <c r="L16" s="30" t="s">
        <v>116</v>
      </c>
      <c r="M16" s="30">
        <v>25</v>
      </c>
      <c r="N16" s="30">
        <v>100</v>
      </c>
      <c r="O16" s="30" t="s">
        <v>115</v>
      </c>
      <c r="P16" s="29"/>
    </row>
    <row r="17" spans="4:6">
      <c r="D17" s="2"/>
      <c r="F17" s="2"/>
    </row>
    <row r="18" spans="4:6">
      <c r="D18" s="2"/>
      <c r="F18" s="2"/>
    </row>
    <row r="19" spans="4:6">
      <c r="F19" s="2"/>
    </row>
    <row r="20" spans="4:6">
      <c r="F20" s="2"/>
    </row>
    <row r="21" spans="4:6">
      <c r="F21" s="2"/>
    </row>
    <row r="22" spans="4:6">
      <c r="F22" s="2"/>
    </row>
    <row r="23" spans="4:6">
      <c r="F23" s="2"/>
    </row>
    <row r="24" spans="4:6">
      <c r="F24" s="2"/>
    </row>
    <row r="25" spans="4:6">
      <c r="F25" s="2"/>
    </row>
  </sheetData>
  <mergeCells count="5">
    <mergeCell ref="A2:A9"/>
    <mergeCell ref="B2:B5"/>
    <mergeCell ref="B6:B8"/>
    <mergeCell ref="A11:A16"/>
    <mergeCell ref="B11:B14"/>
  </mergeCells>
  <phoneticPr fontId="1" type="noConversion"/>
  <conditionalFormatting sqref="K16:L16 M15:O16 G1:O1 G2:H2 J2:O2 C1:D1 K3:N5 K10:M10 G3:J3 K7:N8 N6 P1:P16 N9:N14 G5:J9 G4:I4 G12:J16 G10:I11 O3:O14 F1:F16 C2:C16">
    <cfRule type="cellIs" dxfId="33" priority="31" stopIfTrue="1" operator="equal">
      <formula>"Post-sim"</formula>
    </cfRule>
    <cfRule type="cellIs" dxfId="32" priority="32" stopIfTrue="1" operator="equal">
      <formula>"Pre-sim"</formula>
    </cfRule>
  </conditionalFormatting>
  <conditionalFormatting sqref="B1:B2 B9:B11 B15:B16">
    <cfRule type="cellIs" dxfId="31" priority="35" stopIfTrue="1" operator="equal">
      <formula>"Post-sim"</formula>
    </cfRule>
    <cfRule type="cellIs" dxfId="30" priority="36" stopIfTrue="1" operator="equal">
      <formula>"Pre-sim"</formula>
    </cfRule>
  </conditionalFormatting>
  <conditionalFormatting sqref="K15:L15">
    <cfRule type="cellIs" dxfId="29" priority="33" stopIfTrue="1" operator="equal">
      <formula>"Post-sim"</formula>
    </cfRule>
    <cfRule type="cellIs" dxfId="28" priority="34" stopIfTrue="1" operator="equal">
      <formula>"Pre-sim"</formula>
    </cfRule>
  </conditionalFormatting>
  <conditionalFormatting sqref="E1">
    <cfRule type="cellIs" dxfId="27" priority="29" stopIfTrue="1" operator="equal">
      <formula>"Post-sim"</formula>
    </cfRule>
    <cfRule type="cellIs" dxfId="26" priority="30" stopIfTrue="1" operator="equal">
      <formula>"Pre-sim"</formula>
    </cfRule>
  </conditionalFormatting>
  <conditionalFormatting sqref="K11:M11">
    <cfRule type="cellIs" dxfId="25" priority="27" stopIfTrue="1" operator="equal">
      <formula>"Post-sim"</formula>
    </cfRule>
    <cfRule type="cellIs" dxfId="24" priority="28" stopIfTrue="1" operator="equal">
      <formula>"Pre-sim"</formula>
    </cfRule>
  </conditionalFormatting>
  <conditionalFormatting sqref="K12:M12">
    <cfRule type="cellIs" dxfId="23" priority="25" stopIfTrue="1" operator="equal">
      <formula>"Post-sim"</formula>
    </cfRule>
    <cfRule type="cellIs" dxfId="22" priority="26" stopIfTrue="1" operator="equal">
      <formula>"Pre-sim"</formula>
    </cfRule>
  </conditionalFormatting>
  <conditionalFormatting sqref="K13:M13">
    <cfRule type="cellIs" dxfId="21" priority="23" stopIfTrue="1" operator="equal">
      <formula>"Post-sim"</formula>
    </cfRule>
    <cfRule type="cellIs" dxfId="20" priority="24" stopIfTrue="1" operator="equal">
      <formula>"Pre-sim"</formula>
    </cfRule>
  </conditionalFormatting>
  <conditionalFormatting sqref="K14:M14">
    <cfRule type="cellIs" dxfId="19" priority="21" stopIfTrue="1" operator="equal">
      <formula>"Post-sim"</formula>
    </cfRule>
    <cfRule type="cellIs" dxfId="18" priority="22" stopIfTrue="1" operator="equal">
      <formula>"Pre-sim"</formula>
    </cfRule>
  </conditionalFormatting>
  <conditionalFormatting sqref="E2:E16">
    <cfRule type="cellIs" dxfId="17" priority="19" stopIfTrue="1" operator="equal">
      <formula>"Post-sim"</formula>
    </cfRule>
    <cfRule type="cellIs" dxfId="16" priority="20" stopIfTrue="1" operator="equal">
      <formula>"Pre-sim"</formula>
    </cfRule>
  </conditionalFormatting>
  <conditionalFormatting sqref="A1">
    <cfRule type="cellIs" dxfId="15" priority="17" stopIfTrue="1" operator="equal">
      <formula>"Post-sim"</formula>
    </cfRule>
    <cfRule type="cellIs" dxfId="14" priority="18" stopIfTrue="1" operator="equal">
      <formula>"Pre-sim"</formula>
    </cfRule>
  </conditionalFormatting>
  <conditionalFormatting sqref="K6:M6">
    <cfRule type="cellIs" dxfId="13" priority="15" stopIfTrue="1" operator="equal">
      <formula>"Post-sim"</formula>
    </cfRule>
    <cfRule type="cellIs" dxfId="12" priority="16" stopIfTrue="1" operator="equal">
      <formula>"Pre-sim"</formula>
    </cfRule>
  </conditionalFormatting>
  <conditionalFormatting sqref="M9">
    <cfRule type="cellIs" dxfId="11" priority="11" stopIfTrue="1" operator="equal">
      <formula>"Post-sim"</formula>
    </cfRule>
    <cfRule type="cellIs" dxfId="10" priority="12" stopIfTrue="1" operator="equal">
      <formula>"Pre-sim"</formula>
    </cfRule>
  </conditionalFormatting>
  <conditionalFormatting sqref="K9:L9">
    <cfRule type="cellIs" dxfId="9" priority="13" stopIfTrue="1" operator="equal">
      <formula>"Post-sim"</formula>
    </cfRule>
    <cfRule type="cellIs" dxfId="8" priority="14" stopIfTrue="1" operator="equal">
      <formula>"Pre-sim"</formula>
    </cfRule>
  </conditionalFormatting>
  <conditionalFormatting sqref="J4">
    <cfRule type="cellIs" dxfId="7" priority="9" stopIfTrue="1" operator="equal">
      <formula>"Post-sim"</formula>
    </cfRule>
    <cfRule type="cellIs" dxfId="6" priority="10" stopIfTrue="1" operator="equal">
      <formula>"Pre-sim"</formula>
    </cfRule>
  </conditionalFormatting>
  <conditionalFormatting sqref="J10">
    <cfRule type="cellIs" dxfId="5" priority="7" stopIfTrue="1" operator="equal">
      <formula>"Post-sim"</formula>
    </cfRule>
    <cfRule type="cellIs" dxfId="4" priority="8" stopIfTrue="1" operator="equal">
      <formula>"Pre-sim"</formula>
    </cfRule>
  </conditionalFormatting>
  <conditionalFormatting sqref="J11">
    <cfRule type="cellIs" dxfId="3" priority="5" stopIfTrue="1" operator="equal">
      <formula>"Post-sim"</formula>
    </cfRule>
    <cfRule type="cellIs" dxfId="2" priority="6" stopIfTrue="1" operator="equal">
      <formula>"Pre-sim"</formula>
    </cfRule>
  </conditionalFormatting>
  <conditionalFormatting sqref="D2:D16">
    <cfRule type="cellIs" dxfId="1" priority="1" stopIfTrue="1" operator="equal">
      <formula>"Post-sim"</formula>
    </cfRule>
    <cfRule type="cellIs" dxfId="0" priority="2" stopIfTrue="1" operator="equal">
      <formula>"Pre-sim"</formula>
    </cfRule>
  </conditionalFormatting>
  <dataValidations count="3">
    <dataValidation type="list" allowBlank="1" showInputMessage="1" showErrorMessage="1" sqref="O2:O16">
      <formula1>"TT, TT_FF_SS, All Corners"</formula1>
    </dataValidation>
    <dataValidation type="list" allowBlank="1" showInputMessage="1" showErrorMessage="1" sqref="F2:F16">
      <formula1>"Pass, Fail, Info only"</formula1>
    </dataValidation>
    <dataValidation type="list" allowBlank="1" showInputMessage="1" showErrorMessage="1" sqref="E2:E16">
      <formula1>"Yes, No"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3" sqref="E3"/>
    </sheetView>
  </sheetViews>
  <sheetFormatPr defaultRowHeight="14.4"/>
  <sheetData>
    <row r="1" spans="1:6">
      <c r="A1" s="79" t="s">
        <v>32</v>
      </c>
      <c r="B1" s="80"/>
      <c r="C1" s="81" t="s">
        <v>33</v>
      </c>
      <c r="D1" s="82"/>
    </row>
    <row r="2" spans="1:6">
      <c r="A2" s="13" t="s">
        <v>34</v>
      </c>
      <c r="B2" s="14" t="s">
        <v>35</v>
      </c>
      <c r="C2" s="17" t="s">
        <v>34</v>
      </c>
      <c r="D2" s="13" t="s">
        <v>35</v>
      </c>
      <c r="F2" t="s">
        <v>72</v>
      </c>
    </row>
    <row r="3" spans="1:6">
      <c r="A3" s="13" t="s">
        <v>36</v>
      </c>
      <c r="B3" s="14" t="s">
        <v>52</v>
      </c>
      <c r="C3" s="17" t="s">
        <v>36</v>
      </c>
      <c r="D3" s="13" t="s">
        <v>67</v>
      </c>
    </row>
    <row r="4" spans="1:6">
      <c r="A4" s="13" t="s">
        <v>37</v>
      </c>
      <c r="B4" s="14" t="s">
        <v>53</v>
      </c>
      <c r="C4" s="17" t="s">
        <v>37</v>
      </c>
      <c r="D4" s="13" t="s">
        <v>68</v>
      </c>
    </row>
    <row r="5" spans="1:6">
      <c r="A5" s="13" t="s">
        <v>38</v>
      </c>
      <c r="B5" s="14" t="s">
        <v>54</v>
      </c>
      <c r="C5" s="17" t="s">
        <v>38</v>
      </c>
      <c r="D5" s="13" t="s">
        <v>62</v>
      </c>
    </row>
    <row r="6" spans="1:6">
      <c r="A6" s="13" t="s">
        <v>39</v>
      </c>
      <c r="B6" s="14" t="s">
        <v>55</v>
      </c>
      <c r="C6" s="17" t="s">
        <v>39</v>
      </c>
      <c r="D6" s="13" t="s">
        <v>62</v>
      </c>
    </row>
    <row r="7" spans="1:6">
      <c r="A7" s="13" t="s">
        <v>40</v>
      </c>
      <c r="B7" s="14" t="s">
        <v>56</v>
      </c>
      <c r="C7" s="17" t="s">
        <v>40</v>
      </c>
      <c r="D7" s="13" t="s">
        <v>69</v>
      </c>
    </row>
    <row r="8" spans="1:6">
      <c r="A8" s="13" t="s">
        <v>41</v>
      </c>
      <c r="B8" s="14" t="s">
        <v>57</v>
      </c>
      <c r="C8" s="17" t="s">
        <v>41</v>
      </c>
      <c r="D8" s="13" t="s">
        <v>70</v>
      </c>
    </row>
    <row r="9" spans="1:6">
      <c r="A9" s="13" t="s">
        <v>42</v>
      </c>
      <c r="B9" s="14" t="s">
        <v>58</v>
      </c>
      <c r="C9" s="17" t="s">
        <v>42</v>
      </c>
      <c r="D9" s="13" t="s">
        <v>71</v>
      </c>
    </row>
    <row r="10" spans="1:6">
      <c r="A10" s="13" t="s">
        <v>43</v>
      </c>
      <c r="B10" s="14" t="s">
        <v>59</v>
      </c>
      <c r="C10" s="17" t="s">
        <v>43</v>
      </c>
      <c r="D10" s="13" t="s">
        <v>62</v>
      </c>
    </row>
    <row r="11" spans="1:6">
      <c r="A11" s="13" t="s">
        <v>44</v>
      </c>
      <c r="B11" s="14" t="s">
        <v>60</v>
      </c>
      <c r="C11" s="17"/>
      <c r="D11" s="13"/>
    </row>
    <row r="12" spans="1:6">
      <c r="A12" s="13" t="s">
        <v>45</v>
      </c>
      <c r="B12" s="14" t="s">
        <v>61</v>
      </c>
      <c r="C12" s="17"/>
      <c r="D12" s="13"/>
    </row>
    <row r="13" spans="1:6">
      <c r="A13" s="13" t="s">
        <v>46</v>
      </c>
      <c r="B13" s="14" t="s">
        <v>62</v>
      </c>
      <c r="C13" s="17"/>
      <c r="D13" s="13"/>
    </row>
    <row r="14" spans="1:6">
      <c r="A14" s="13" t="s">
        <v>47</v>
      </c>
      <c r="B14" s="14" t="s">
        <v>63</v>
      </c>
      <c r="C14" s="17"/>
      <c r="D14" s="13"/>
    </row>
    <row r="15" spans="1:6">
      <c r="A15" s="13" t="s">
        <v>48</v>
      </c>
      <c r="B15" s="14" t="s">
        <v>64</v>
      </c>
      <c r="C15" s="17"/>
      <c r="D15" s="13"/>
    </row>
    <row r="16" spans="1:6">
      <c r="A16" s="13" t="s">
        <v>49</v>
      </c>
      <c r="B16" s="14" t="s">
        <v>65</v>
      </c>
      <c r="C16" s="17"/>
      <c r="D16" s="13"/>
    </row>
    <row r="17" spans="1:4">
      <c r="A17" s="13" t="s">
        <v>50</v>
      </c>
      <c r="B17" s="14" t="s">
        <v>62</v>
      </c>
      <c r="C17" s="17"/>
      <c r="D17" s="13"/>
    </row>
    <row r="18" spans="1:4" ht="15" thickBot="1">
      <c r="A18" s="15" t="s">
        <v>51</v>
      </c>
      <c r="B18" s="16" t="s">
        <v>66</v>
      </c>
      <c r="C18" s="18"/>
      <c r="D18" s="15"/>
    </row>
  </sheetData>
  <mergeCells count="2">
    <mergeCell ref="A1:B1"/>
    <mergeCell ref="C1: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9"/>
  <sheetViews>
    <sheetView topLeftCell="A43" zoomScaleNormal="100" workbookViewId="0">
      <selection activeCell="L156" sqref="L156"/>
    </sheetView>
  </sheetViews>
  <sheetFormatPr defaultRowHeight="14.4"/>
  <cols>
    <col min="1" max="1" width="15.77734375" customWidth="1"/>
    <col min="2" max="2" width="17.6640625" customWidth="1"/>
    <col min="3" max="3" width="14.44140625" customWidth="1"/>
    <col min="4" max="4" width="25.44140625" customWidth="1"/>
    <col min="5" max="5" width="23.88671875" customWidth="1"/>
    <col min="6" max="6" width="15" customWidth="1"/>
    <col min="7" max="7" width="15.88671875" customWidth="1"/>
    <col min="8" max="8" width="13.6640625" customWidth="1"/>
    <col min="21" max="21" width="9" style="1"/>
    <col min="25" max="25" width="15.21875" customWidth="1"/>
    <col min="26" max="26" width="14.88671875" customWidth="1"/>
    <col min="27" max="27" width="14.109375" customWidth="1"/>
    <col min="28" max="28" width="12.88671875" customWidth="1"/>
  </cols>
  <sheetData>
    <row r="1" spans="1:32">
      <c r="A1" s="23" t="s">
        <v>21</v>
      </c>
    </row>
    <row r="2" spans="1:32">
      <c r="A2" s="23" t="s">
        <v>73</v>
      </c>
    </row>
    <row r="3" spans="1:32">
      <c r="A3" s="23" t="s">
        <v>214</v>
      </c>
    </row>
    <row r="5" spans="1:32">
      <c r="A5" s="23" t="s">
        <v>219</v>
      </c>
    </row>
    <row r="6" spans="1:32">
      <c r="A6" s="23" t="s">
        <v>215</v>
      </c>
    </row>
    <row r="7" spans="1:32">
      <c r="A7" s="23" t="s">
        <v>216</v>
      </c>
    </row>
    <row r="8" spans="1:32">
      <c r="A8" s="23" t="s">
        <v>217</v>
      </c>
    </row>
    <row r="9" spans="1:32">
      <c r="A9" s="23" t="s">
        <v>218</v>
      </c>
    </row>
    <row r="10" spans="1:32">
      <c r="A10" s="23" t="s">
        <v>220</v>
      </c>
    </row>
    <row r="14" spans="1:32" ht="54" customHeight="1">
      <c r="A14" s="19" t="s">
        <v>16</v>
      </c>
      <c r="B14" s="19" t="s">
        <v>17</v>
      </c>
      <c r="C14" s="19" t="s">
        <v>18</v>
      </c>
      <c r="D14" s="19" t="s">
        <v>19</v>
      </c>
      <c r="E14" s="19"/>
      <c r="F14" s="20"/>
      <c r="G14" s="20"/>
      <c r="H14" s="20"/>
      <c r="Y14" s="19" t="s">
        <v>16</v>
      </c>
      <c r="Z14" s="19" t="s">
        <v>17</v>
      </c>
      <c r="AA14" s="19" t="s">
        <v>18</v>
      </c>
      <c r="AB14" s="19" t="s">
        <v>19</v>
      </c>
      <c r="AC14" s="19"/>
      <c r="AD14" s="20"/>
      <c r="AE14" s="20"/>
      <c r="AF14" s="20"/>
    </row>
    <row r="15" spans="1:32">
      <c r="A15" s="20" t="s">
        <v>2</v>
      </c>
      <c r="B15" s="20" t="s">
        <v>3</v>
      </c>
      <c r="C15" s="20" t="s">
        <v>1</v>
      </c>
      <c r="D15" s="20" t="s">
        <v>0</v>
      </c>
      <c r="E15" s="20" t="s">
        <v>4</v>
      </c>
      <c r="F15" s="20" t="s">
        <v>5</v>
      </c>
      <c r="G15" s="20" t="s">
        <v>6</v>
      </c>
      <c r="H15" s="20" t="s">
        <v>7</v>
      </c>
      <c r="U15" s="1" t="s">
        <v>20</v>
      </c>
      <c r="Y15" s="20" t="s">
        <v>2</v>
      </c>
      <c r="Z15" s="20" t="s">
        <v>3</v>
      </c>
      <c r="AA15" s="20" t="s">
        <v>1</v>
      </c>
      <c r="AB15" s="20" t="s">
        <v>0</v>
      </c>
      <c r="AC15" s="20" t="s">
        <v>4</v>
      </c>
      <c r="AD15" s="20" t="s">
        <v>5</v>
      </c>
      <c r="AE15" s="20" t="s">
        <v>6</v>
      </c>
      <c r="AF15" s="20" t="s">
        <v>7</v>
      </c>
    </row>
    <row r="16" spans="1:32">
      <c r="A16" s="20" t="s">
        <v>8</v>
      </c>
      <c r="B16" s="20" t="s">
        <v>8</v>
      </c>
      <c r="C16" s="20" t="s">
        <v>8</v>
      </c>
      <c r="D16" s="20" t="s">
        <v>8</v>
      </c>
      <c r="E16" s="20">
        <v>706.4</v>
      </c>
      <c r="F16" s="20">
        <v>108.90900000000001</v>
      </c>
      <c r="G16" s="20">
        <v>0.75646999999999998</v>
      </c>
      <c r="H16" s="20">
        <v>0.66439999999999999</v>
      </c>
      <c r="U16" s="1">
        <v>2.5</v>
      </c>
      <c r="Y16" s="20" t="s">
        <v>8</v>
      </c>
      <c r="Z16" s="20" t="s">
        <v>8</v>
      </c>
      <c r="AA16" s="20" t="s">
        <v>8</v>
      </c>
      <c r="AB16" s="20" t="s">
        <v>9</v>
      </c>
      <c r="AC16" s="20">
        <v>2080.1</v>
      </c>
      <c r="AD16" s="20">
        <v>618.41999999999996</v>
      </c>
      <c r="AE16" s="20">
        <v>0.75926000000000005</v>
      </c>
      <c r="AF16" s="20">
        <v>0</v>
      </c>
    </row>
    <row r="17" spans="1:47">
      <c r="A17" s="20" t="s">
        <v>9</v>
      </c>
      <c r="B17" s="20" t="s">
        <v>8</v>
      </c>
      <c r="C17" s="20" t="s">
        <v>8</v>
      </c>
      <c r="D17" s="20" t="s">
        <v>8</v>
      </c>
      <c r="E17" s="20">
        <v>436.2</v>
      </c>
      <c r="F17" s="20">
        <v>60.448799999999999</v>
      </c>
      <c r="G17" s="20">
        <v>0.75941999999999998</v>
      </c>
      <c r="H17" s="20">
        <v>0.67720000000000002</v>
      </c>
      <c r="U17" s="1">
        <v>5</v>
      </c>
      <c r="Y17" s="20" t="s">
        <v>9</v>
      </c>
      <c r="Z17" s="20" t="s">
        <v>8</v>
      </c>
      <c r="AA17" s="20" t="s">
        <v>8</v>
      </c>
      <c r="AB17" s="20" t="s">
        <v>9</v>
      </c>
      <c r="AC17" s="20">
        <v>2080.1</v>
      </c>
      <c r="AD17" s="20">
        <v>553.99699999999996</v>
      </c>
      <c r="AE17" s="20">
        <v>0.75978999999999997</v>
      </c>
      <c r="AF17" s="20">
        <v>0</v>
      </c>
    </row>
    <row r="18" spans="1:47">
      <c r="A18" s="20" t="s">
        <v>10</v>
      </c>
      <c r="B18" s="20" t="s">
        <v>8</v>
      </c>
      <c r="C18" s="20" t="s">
        <v>8</v>
      </c>
      <c r="D18" s="20" t="s">
        <v>8</v>
      </c>
      <c r="E18" s="20">
        <v>371.1</v>
      </c>
      <c r="F18" s="20">
        <v>49.34</v>
      </c>
      <c r="G18" s="20">
        <v>0.75482000000000005</v>
      </c>
      <c r="H18" s="20">
        <v>0.67810000000000004</v>
      </c>
      <c r="U18" s="1">
        <v>7.5</v>
      </c>
      <c r="Y18" s="20" t="s">
        <v>10</v>
      </c>
      <c r="Z18" s="20" t="s">
        <v>8</v>
      </c>
      <c r="AA18" s="20" t="s">
        <v>8</v>
      </c>
      <c r="AB18" s="20" t="s">
        <v>9</v>
      </c>
      <c r="AC18" s="20">
        <v>2080.1</v>
      </c>
      <c r="AD18" s="20">
        <v>668.64599999999996</v>
      </c>
      <c r="AE18" s="20">
        <v>0.76075000000000004</v>
      </c>
      <c r="AF18" s="20">
        <v>0</v>
      </c>
    </row>
    <row r="19" spans="1:47">
      <c r="A19" s="20" t="s">
        <v>11</v>
      </c>
      <c r="B19" s="20" t="s">
        <v>8</v>
      </c>
      <c r="C19" s="20" t="s">
        <v>8</v>
      </c>
      <c r="D19" s="20" t="s">
        <v>8</v>
      </c>
      <c r="E19" s="20">
        <v>335.3</v>
      </c>
      <c r="F19" s="20">
        <v>44.496600000000001</v>
      </c>
      <c r="G19" s="20">
        <v>0.75853000000000004</v>
      </c>
      <c r="H19" s="20">
        <v>0.67520000000000002</v>
      </c>
      <c r="U19" s="1">
        <v>10</v>
      </c>
      <c r="Y19" s="20" t="s">
        <v>11</v>
      </c>
      <c r="Z19" s="20" t="s">
        <v>8</v>
      </c>
      <c r="AA19" s="20" t="s">
        <v>8</v>
      </c>
      <c r="AB19" s="20" t="s">
        <v>9</v>
      </c>
      <c r="AC19" s="20">
        <v>2080.1</v>
      </c>
      <c r="AD19" s="20">
        <v>565.93399999999997</v>
      </c>
      <c r="AE19" s="20">
        <v>0.75915999999999995</v>
      </c>
      <c r="AF19" s="20">
        <v>0</v>
      </c>
    </row>
    <row r="20" spans="1:47">
      <c r="A20" s="20" t="s">
        <v>12</v>
      </c>
      <c r="B20" s="20" t="s">
        <v>8</v>
      </c>
      <c r="C20" s="20" t="s">
        <v>8</v>
      </c>
      <c r="D20" s="20" t="s">
        <v>8</v>
      </c>
      <c r="E20" s="20">
        <v>312.5</v>
      </c>
      <c r="F20" s="20">
        <v>42.204700000000003</v>
      </c>
      <c r="G20" s="20">
        <v>0.75573999999999997</v>
      </c>
      <c r="H20" s="20">
        <v>0.67810000000000004</v>
      </c>
      <c r="U20" s="1">
        <v>12.5</v>
      </c>
      <c r="Y20" s="20" t="s">
        <v>12</v>
      </c>
      <c r="Z20" s="20" t="s">
        <v>8</v>
      </c>
      <c r="AA20" s="20" t="s">
        <v>8</v>
      </c>
      <c r="AB20" s="20" t="s">
        <v>9</v>
      </c>
      <c r="AC20" s="20">
        <v>2080.1</v>
      </c>
      <c r="AD20" s="20">
        <v>541.87199999999996</v>
      </c>
      <c r="AE20" s="20">
        <v>0.75617999999999996</v>
      </c>
      <c r="AF20" s="20">
        <v>0</v>
      </c>
    </row>
    <row r="21" spans="1:47">
      <c r="A21" s="20" t="s">
        <v>13</v>
      </c>
      <c r="B21" s="20" t="s">
        <v>8</v>
      </c>
      <c r="C21" s="20" t="s">
        <v>8</v>
      </c>
      <c r="D21" s="20" t="s">
        <v>8</v>
      </c>
      <c r="E21" s="20">
        <v>299.5</v>
      </c>
      <c r="F21" s="20">
        <v>40.880200000000002</v>
      </c>
      <c r="G21" s="20">
        <v>0.76009000000000004</v>
      </c>
      <c r="H21" s="20">
        <v>0.67520000000000002</v>
      </c>
      <c r="U21" s="1">
        <v>15</v>
      </c>
      <c r="Y21" s="20" t="s">
        <v>13</v>
      </c>
      <c r="Z21" s="20" t="s">
        <v>8</v>
      </c>
      <c r="AA21" s="20" t="s">
        <v>8</v>
      </c>
      <c r="AB21" s="20" t="s">
        <v>9</v>
      </c>
      <c r="AC21" s="20">
        <v>1953.1</v>
      </c>
      <c r="AD21" s="20">
        <v>440.40199999999999</v>
      </c>
      <c r="AE21" s="20">
        <v>0.75895999999999997</v>
      </c>
      <c r="AF21" s="20">
        <v>0</v>
      </c>
    </row>
    <row r="22" spans="1:47">
      <c r="A22" s="20" t="s">
        <v>14</v>
      </c>
      <c r="B22" s="20" t="s">
        <v>8</v>
      </c>
      <c r="C22" s="20" t="s">
        <v>8</v>
      </c>
      <c r="D22" s="20" t="s">
        <v>8</v>
      </c>
      <c r="E22" s="20">
        <v>286.5</v>
      </c>
      <c r="F22" s="20">
        <v>40.779499999999999</v>
      </c>
      <c r="G22" s="20">
        <v>0.75492000000000004</v>
      </c>
      <c r="H22" s="20">
        <v>0.67420000000000002</v>
      </c>
      <c r="U22" s="1">
        <v>17.5</v>
      </c>
      <c r="Y22" s="20" t="s">
        <v>14</v>
      </c>
      <c r="Z22" s="20" t="s">
        <v>8</v>
      </c>
      <c r="AA22" s="20" t="s">
        <v>8</v>
      </c>
      <c r="AB22" s="20" t="s">
        <v>9</v>
      </c>
      <c r="AC22" s="20">
        <v>1604.8</v>
      </c>
      <c r="AD22" s="20">
        <v>372.06900000000002</v>
      </c>
      <c r="AE22" s="20">
        <v>0.75278999999999996</v>
      </c>
      <c r="AF22" s="20">
        <v>0</v>
      </c>
    </row>
    <row r="23" spans="1:47">
      <c r="A23" s="20" t="s">
        <v>15</v>
      </c>
      <c r="B23" s="20" t="s">
        <v>8</v>
      </c>
      <c r="C23" s="20" t="s">
        <v>8</v>
      </c>
      <c r="D23" s="20" t="s">
        <v>8</v>
      </c>
      <c r="E23" s="20">
        <v>289.7</v>
      </c>
      <c r="F23" s="20">
        <v>39.535400000000003</v>
      </c>
      <c r="G23" s="20">
        <v>0.75800000000000001</v>
      </c>
      <c r="H23" s="20">
        <v>0.67720000000000002</v>
      </c>
      <c r="U23" s="1">
        <v>20</v>
      </c>
      <c r="Y23" s="20" t="s">
        <v>15</v>
      </c>
      <c r="Z23" s="20" t="s">
        <v>8</v>
      </c>
      <c r="AA23" s="20" t="s">
        <v>8</v>
      </c>
      <c r="AB23" s="20" t="s">
        <v>9</v>
      </c>
      <c r="AC23" s="20">
        <v>1422.5</v>
      </c>
      <c r="AD23" s="20">
        <v>320.60199999999998</v>
      </c>
      <c r="AE23" s="20">
        <v>0.75802999999999998</v>
      </c>
      <c r="AF23" s="20">
        <v>0.3538</v>
      </c>
    </row>
    <row r="24" spans="1:47">
      <c r="A24" s="20" t="s">
        <v>8</v>
      </c>
      <c r="B24" s="20" t="s">
        <v>9</v>
      </c>
      <c r="C24" s="20" t="s">
        <v>8</v>
      </c>
      <c r="D24" s="20" t="s">
        <v>8</v>
      </c>
      <c r="E24" s="20">
        <v>634.79999999999995</v>
      </c>
      <c r="F24" s="20">
        <v>96.452699999999993</v>
      </c>
      <c r="G24" s="20">
        <v>0.75651000000000002</v>
      </c>
      <c r="H24" s="20">
        <v>0.66830000000000001</v>
      </c>
      <c r="Y24" s="20" t="s">
        <v>8</v>
      </c>
      <c r="Z24" s="20" t="s">
        <v>9</v>
      </c>
      <c r="AA24" s="20" t="s">
        <v>8</v>
      </c>
      <c r="AB24" s="20" t="s">
        <v>9</v>
      </c>
      <c r="AC24" s="20">
        <v>2080.1</v>
      </c>
      <c r="AD24" s="20">
        <v>594.66399999999999</v>
      </c>
      <c r="AE24" s="20">
        <v>0.75412000000000001</v>
      </c>
      <c r="AF24" s="20">
        <v>0</v>
      </c>
    </row>
    <row r="25" spans="1:47">
      <c r="A25" s="20" t="s">
        <v>9</v>
      </c>
      <c r="B25" s="20" t="s">
        <v>9</v>
      </c>
      <c r="C25" s="20" t="s">
        <v>8</v>
      </c>
      <c r="D25" s="20" t="s">
        <v>8</v>
      </c>
      <c r="E25" s="20">
        <v>400.4</v>
      </c>
      <c r="F25" s="20">
        <v>57.177</v>
      </c>
      <c r="G25" s="20">
        <v>0.75812999999999997</v>
      </c>
      <c r="H25" s="20">
        <v>0.67620000000000002</v>
      </c>
      <c r="Y25" s="20" t="s">
        <v>9</v>
      </c>
      <c r="Z25" s="20" t="s">
        <v>9</v>
      </c>
      <c r="AA25" s="20" t="s">
        <v>8</v>
      </c>
      <c r="AB25" s="20" t="s">
        <v>9</v>
      </c>
      <c r="AC25" s="20">
        <v>2080.1</v>
      </c>
      <c r="AD25" s="20">
        <v>559.95299999999997</v>
      </c>
      <c r="AE25" s="20">
        <v>0.75558000000000003</v>
      </c>
      <c r="AF25" s="20">
        <v>0</v>
      </c>
    </row>
    <row r="26" spans="1:47">
      <c r="A26" s="20" t="s">
        <v>10</v>
      </c>
      <c r="B26" s="20" t="s">
        <v>9</v>
      </c>
      <c r="C26" s="20" t="s">
        <v>8</v>
      </c>
      <c r="D26" s="20" t="s">
        <v>8</v>
      </c>
      <c r="E26" s="20">
        <v>345.1</v>
      </c>
      <c r="F26" s="20">
        <v>47.988700000000001</v>
      </c>
      <c r="G26" s="20">
        <v>0.76034999999999997</v>
      </c>
      <c r="H26" s="20">
        <v>0.67720000000000002</v>
      </c>
      <c r="Y26" s="20" t="s">
        <v>10</v>
      </c>
      <c r="Z26" s="20" t="s">
        <v>9</v>
      </c>
      <c r="AA26" s="20" t="s">
        <v>8</v>
      </c>
      <c r="AB26" s="20" t="s">
        <v>9</v>
      </c>
      <c r="AC26" s="20">
        <v>2080.1</v>
      </c>
      <c r="AD26" s="20">
        <v>693.577</v>
      </c>
      <c r="AE26" s="20">
        <v>0.75812999999999997</v>
      </c>
      <c r="AF26" s="20">
        <v>0</v>
      </c>
    </row>
    <row r="27" spans="1:47">
      <c r="A27" s="20" t="s">
        <v>11</v>
      </c>
      <c r="B27" s="20" t="s">
        <v>9</v>
      </c>
      <c r="C27" s="20" t="s">
        <v>8</v>
      </c>
      <c r="D27" s="20" t="s">
        <v>8</v>
      </c>
      <c r="E27" s="20">
        <v>325.5</v>
      </c>
      <c r="F27" s="20">
        <v>43.712800000000001</v>
      </c>
      <c r="G27" s="20">
        <v>0.75680999999999998</v>
      </c>
      <c r="H27" s="20">
        <v>0.67810000000000004</v>
      </c>
      <c r="Y27" s="20" t="s">
        <v>11</v>
      </c>
      <c r="Z27" s="20" t="s">
        <v>9</v>
      </c>
      <c r="AA27" s="20" t="s">
        <v>8</v>
      </c>
      <c r="AB27" s="20" t="s">
        <v>9</v>
      </c>
      <c r="AC27" s="20">
        <v>2080.1</v>
      </c>
      <c r="AD27" s="20">
        <v>599.78399999999999</v>
      </c>
      <c r="AE27" s="20">
        <v>0.75856000000000001</v>
      </c>
      <c r="AF27" s="20">
        <v>0</v>
      </c>
    </row>
    <row r="28" spans="1:47">
      <c r="A28" s="20" t="s">
        <v>12</v>
      </c>
      <c r="B28" s="20" t="s">
        <v>9</v>
      </c>
      <c r="C28" s="20" t="s">
        <v>8</v>
      </c>
      <c r="D28" s="20" t="s">
        <v>8</v>
      </c>
      <c r="E28" s="20">
        <v>302.7</v>
      </c>
      <c r="F28" s="20">
        <v>41.911200000000001</v>
      </c>
      <c r="G28" s="20">
        <v>0.76092000000000004</v>
      </c>
      <c r="H28" s="20">
        <v>0.67520000000000002</v>
      </c>
      <c r="Y28" s="20" t="s">
        <v>12</v>
      </c>
      <c r="Z28" s="20" t="s">
        <v>9</v>
      </c>
      <c r="AA28" s="20" t="s">
        <v>8</v>
      </c>
      <c r="AB28" s="20" t="s">
        <v>9</v>
      </c>
      <c r="AC28" s="20">
        <v>1862</v>
      </c>
      <c r="AD28" s="20">
        <v>463.07600000000002</v>
      </c>
      <c r="AE28" s="20">
        <v>0.75802999999999998</v>
      </c>
      <c r="AF28" s="20">
        <v>0</v>
      </c>
    </row>
    <row r="29" spans="1:47">
      <c r="A29" s="20" t="s">
        <v>13</v>
      </c>
      <c r="B29" s="20" t="s">
        <v>9</v>
      </c>
      <c r="C29" s="20" t="s">
        <v>8</v>
      </c>
      <c r="D29" s="20" t="s">
        <v>8</v>
      </c>
      <c r="E29" s="20">
        <v>289.7</v>
      </c>
      <c r="F29" s="20">
        <v>41.075299999999999</v>
      </c>
      <c r="G29" s="20">
        <v>0.75839999999999996</v>
      </c>
      <c r="H29" s="20">
        <v>0.67810000000000004</v>
      </c>
      <c r="Y29" s="20" t="s">
        <v>13</v>
      </c>
      <c r="Z29" s="20" t="s">
        <v>9</v>
      </c>
      <c r="AA29" s="20" t="s">
        <v>8</v>
      </c>
      <c r="AB29" s="20" t="s">
        <v>9</v>
      </c>
      <c r="AC29" s="20">
        <v>1588.6</v>
      </c>
      <c r="AD29" s="20">
        <v>379.54599999999999</v>
      </c>
      <c r="AE29" s="20">
        <v>0.75858999999999999</v>
      </c>
      <c r="AF29" s="20">
        <v>0.2329</v>
      </c>
    </row>
    <row r="30" spans="1:47">
      <c r="A30" s="20" t="s">
        <v>14</v>
      </c>
      <c r="B30" s="20" t="s">
        <v>9</v>
      </c>
      <c r="C30" s="20" t="s">
        <v>8</v>
      </c>
      <c r="D30" s="20" t="s">
        <v>8</v>
      </c>
      <c r="E30" s="20">
        <v>276.7</v>
      </c>
      <c r="F30" s="20">
        <v>39.880800000000001</v>
      </c>
      <c r="G30" s="20">
        <v>0.75580999999999998</v>
      </c>
      <c r="H30" s="20">
        <v>0.67720000000000002</v>
      </c>
      <c r="Y30" s="20" t="s">
        <v>14</v>
      </c>
      <c r="Z30" s="20" t="s">
        <v>9</v>
      </c>
      <c r="AA30" s="20" t="s">
        <v>8</v>
      </c>
      <c r="AB30" s="20" t="s">
        <v>9</v>
      </c>
      <c r="AC30" s="20">
        <v>1448.6</v>
      </c>
      <c r="AD30" s="20">
        <v>323.13299999999998</v>
      </c>
      <c r="AE30" s="20">
        <v>0.75783</v>
      </c>
      <c r="AF30" s="20">
        <v>0.36659999999999998</v>
      </c>
    </row>
    <row r="31" spans="1:47" s="2" customFormat="1">
      <c r="A31" s="21" t="s">
        <v>15</v>
      </c>
      <c r="B31" s="21" t="s">
        <v>9</v>
      </c>
      <c r="C31" s="21" t="s">
        <v>8</v>
      </c>
      <c r="D31" s="21" t="s">
        <v>8</v>
      </c>
      <c r="E31" s="21">
        <v>280</v>
      </c>
      <c r="F31" s="21">
        <v>39.481900000000003</v>
      </c>
      <c r="G31" s="21">
        <v>0.75895999999999997</v>
      </c>
      <c r="H31" s="21">
        <v>0.67810000000000004</v>
      </c>
      <c r="U31" s="1"/>
      <c r="Y31" s="20" t="s">
        <v>15</v>
      </c>
      <c r="Z31" s="20" t="s">
        <v>9</v>
      </c>
      <c r="AA31" s="20" t="s">
        <v>8</v>
      </c>
      <c r="AB31" s="20" t="s">
        <v>9</v>
      </c>
      <c r="AC31" s="20">
        <v>1243.5</v>
      </c>
      <c r="AD31" s="20">
        <v>278.51900000000001</v>
      </c>
      <c r="AE31" s="20">
        <v>0.7581</v>
      </c>
      <c r="AF31" s="20">
        <v>0.53169999999999995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>
      <c r="A32" s="20" t="s">
        <v>8</v>
      </c>
      <c r="B32" s="20" t="s">
        <v>10</v>
      </c>
      <c r="C32" s="20" t="s">
        <v>8</v>
      </c>
      <c r="D32" s="20" t="s">
        <v>8</v>
      </c>
      <c r="E32" s="20">
        <v>527.29999999999995</v>
      </c>
      <c r="F32" s="20">
        <v>81.493700000000004</v>
      </c>
      <c r="G32" s="20">
        <v>0.75690000000000002</v>
      </c>
      <c r="H32" s="20">
        <v>0.67420000000000002</v>
      </c>
      <c r="Y32" s="20" t="s">
        <v>8</v>
      </c>
      <c r="Z32" s="20" t="s">
        <v>10</v>
      </c>
      <c r="AA32" s="20" t="s">
        <v>8</v>
      </c>
      <c r="AB32" s="20" t="s">
        <v>9</v>
      </c>
      <c r="AC32" s="20">
        <v>2080.1</v>
      </c>
      <c r="AD32" s="20">
        <v>610.65599999999995</v>
      </c>
      <c r="AE32" s="20">
        <v>0.75719999999999998</v>
      </c>
      <c r="AF32" s="20">
        <v>0</v>
      </c>
    </row>
    <row r="33" spans="1:32">
      <c r="A33" s="20" t="s">
        <v>9</v>
      </c>
      <c r="B33" s="20" t="s">
        <v>10</v>
      </c>
      <c r="C33" s="20" t="s">
        <v>8</v>
      </c>
      <c r="D33" s="20" t="s">
        <v>8</v>
      </c>
      <c r="E33" s="20">
        <v>377.6</v>
      </c>
      <c r="F33" s="20">
        <v>53.579000000000001</v>
      </c>
      <c r="G33" s="20">
        <v>0.75978999999999997</v>
      </c>
      <c r="H33" s="20">
        <v>0.67520000000000002</v>
      </c>
      <c r="Y33" s="20" t="s">
        <v>9</v>
      </c>
      <c r="Z33" s="20" t="s">
        <v>10</v>
      </c>
      <c r="AA33" s="20" t="s">
        <v>8</v>
      </c>
      <c r="AB33" s="20" t="s">
        <v>9</v>
      </c>
      <c r="AC33" s="20">
        <v>2080.1</v>
      </c>
      <c r="AD33" s="20">
        <v>661.88099999999997</v>
      </c>
      <c r="AE33" s="20">
        <v>0.75588</v>
      </c>
      <c r="AF33" s="20">
        <v>0</v>
      </c>
    </row>
    <row r="34" spans="1:32">
      <c r="A34" s="20" t="s">
        <v>10</v>
      </c>
      <c r="B34" s="20" t="s">
        <v>10</v>
      </c>
      <c r="C34" s="20" t="s">
        <v>8</v>
      </c>
      <c r="D34" s="20" t="s">
        <v>8</v>
      </c>
      <c r="E34" s="20">
        <v>328.8</v>
      </c>
      <c r="F34" s="20">
        <v>46.279699999999998</v>
      </c>
      <c r="G34" s="20">
        <v>0.75607999999999997</v>
      </c>
      <c r="H34" s="20">
        <v>0.67130000000000001</v>
      </c>
      <c r="Y34" s="20" t="s">
        <v>10</v>
      </c>
      <c r="Z34" s="20" t="s">
        <v>10</v>
      </c>
      <c r="AA34" s="20" t="s">
        <v>8</v>
      </c>
      <c r="AB34" s="20" t="s">
        <v>9</v>
      </c>
      <c r="AC34" s="20">
        <v>2080.1</v>
      </c>
      <c r="AD34" s="20">
        <v>661.17899999999997</v>
      </c>
      <c r="AE34" s="20">
        <v>0.75868999999999998</v>
      </c>
      <c r="AF34" s="20">
        <v>0</v>
      </c>
    </row>
    <row r="35" spans="1:32">
      <c r="A35" s="20" t="s">
        <v>11</v>
      </c>
      <c r="B35" s="20" t="s">
        <v>10</v>
      </c>
      <c r="C35" s="20" t="s">
        <v>8</v>
      </c>
      <c r="D35" s="20" t="s">
        <v>8</v>
      </c>
      <c r="E35" s="20">
        <v>312.5</v>
      </c>
      <c r="F35" s="20">
        <v>43.624200000000002</v>
      </c>
      <c r="G35" s="20">
        <v>0.75607999999999997</v>
      </c>
      <c r="H35" s="20">
        <v>0.67620000000000002</v>
      </c>
      <c r="Y35" s="20" t="s">
        <v>11</v>
      </c>
      <c r="Z35" s="20" t="s">
        <v>10</v>
      </c>
      <c r="AA35" s="20" t="s">
        <v>8</v>
      </c>
      <c r="AB35" s="20" t="s">
        <v>9</v>
      </c>
      <c r="AC35" s="20">
        <v>2015</v>
      </c>
      <c r="AD35" s="20">
        <v>488.83300000000003</v>
      </c>
      <c r="AE35" s="20">
        <v>0.75756999999999997</v>
      </c>
      <c r="AF35" s="20">
        <v>0</v>
      </c>
    </row>
    <row r="36" spans="1:32">
      <c r="A36" s="20" t="s">
        <v>12</v>
      </c>
      <c r="B36" s="20" t="s">
        <v>10</v>
      </c>
      <c r="C36" s="20" t="s">
        <v>8</v>
      </c>
      <c r="D36" s="20" t="s">
        <v>8</v>
      </c>
      <c r="E36" s="20">
        <v>302.7</v>
      </c>
      <c r="F36" s="20">
        <v>41.688800000000001</v>
      </c>
      <c r="G36" s="20">
        <v>0.75717000000000001</v>
      </c>
      <c r="H36" s="20">
        <v>0.67810000000000004</v>
      </c>
      <c r="Y36" s="20" t="s">
        <v>12</v>
      </c>
      <c r="Z36" s="20" t="s">
        <v>10</v>
      </c>
      <c r="AA36" s="20" t="s">
        <v>8</v>
      </c>
      <c r="AB36" s="20" t="s">
        <v>9</v>
      </c>
      <c r="AC36" s="20">
        <v>1696</v>
      </c>
      <c r="AD36" s="20">
        <v>381.83100000000002</v>
      </c>
      <c r="AE36" s="20">
        <v>0.75492000000000004</v>
      </c>
      <c r="AF36" s="20">
        <v>0.30959999999999999</v>
      </c>
    </row>
    <row r="37" spans="1:32">
      <c r="A37" s="20" t="s">
        <v>13</v>
      </c>
      <c r="B37" s="20" t="s">
        <v>10</v>
      </c>
      <c r="C37" s="20" t="s">
        <v>8</v>
      </c>
      <c r="D37" s="20" t="s">
        <v>8</v>
      </c>
      <c r="E37" s="20">
        <v>276.7</v>
      </c>
      <c r="F37" s="20">
        <v>40.465499999999999</v>
      </c>
      <c r="G37" s="20">
        <v>0.75644</v>
      </c>
      <c r="H37" s="20">
        <v>0.67720000000000002</v>
      </c>
      <c r="Y37" s="20" t="s">
        <v>13</v>
      </c>
      <c r="Z37" s="20" t="s">
        <v>10</v>
      </c>
      <c r="AA37" s="20" t="s">
        <v>8</v>
      </c>
      <c r="AB37" s="20" t="s">
        <v>9</v>
      </c>
      <c r="AC37" s="20">
        <v>1396.5</v>
      </c>
      <c r="AD37" s="20">
        <v>317.55799999999999</v>
      </c>
      <c r="AE37" s="20">
        <v>0.75677000000000005</v>
      </c>
      <c r="AF37" s="20">
        <v>0.3931</v>
      </c>
    </row>
    <row r="38" spans="1:32">
      <c r="A38" s="20" t="s">
        <v>14</v>
      </c>
      <c r="B38" s="20" t="s">
        <v>10</v>
      </c>
      <c r="C38" s="20" t="s">
        <v>8</v>
      </c>
      <c r="D38" s="20" t="s">
        <v>8</v>
      </c>
      <c r="E38" s="20">
        <v>296.2</v>
      </c>
      <c r="F38" s="20">
        <v>40.688099999999999</v>
      </c>
      <c r="G38" s="20">
        <v>0.75780000000000003</v>
      </c>
      <c r="H38" s="20">
        <v>0.67620000000000002</v>
      </c>
      <c r="Y38" s="20" t="s">
        <v>14</v>
      </c>
      <c r="Z38" s="20" t="s">
        <v>10</v>
      </c>
      <c r="AA38" s="20" t="s">
        <v>8</v>
      </c>
      <c r="AB38" s="20" t="s">
        <v>9</v>
      </c>
      <c r="AC38" s="20">
        <v>1292.3</v>
      </c>
      <c r="AD38" s="20">
        <v>271.512</v>
      </c>
      <c r="AE38" s="20">
        <v>0.75739999999999996</v>
      </c>
      <c r="AF38" s="20">
        <v>0.52380000000000004</v>
      </c>
    </row>
    <row r="39" spans="1:32">
      <c r="A39" s="20" t="s">
        <v>15</v>
      </c>
      <c r="B39" s="20" t="s">
        <v>10</v>
      </c>
      <c r="C39" s="20" t="s">
        <v>8</v>
      </c>
      <c r="D39" s="20" t="s">
        <v>8</v>
      </c>
      <c r="E39" s="20">
        <v>302.7</v>
      </c>
      <c r="F39" s="20">
        <v>40.464300000000001</v>
      </c>
      <c r="G39" s="20">
        <v>0.75846000000000002</v>
      </c>
      <c r="H39" s="20">
        <v>0.67620000000000002</v>
      </c>
      <c r="Y39" s="20" t="s">
        <v>15</v>
      </c>
      <c r="Z39" s="20" t="s">
        <v>10</v>
      </c>
      <c r="AA39" s="20" t="s">
        <v>8</v>
      </c>
      <c r="AB39" s="20" t="s">
        <v>9</v>
      </c>
      <c r="AC39" s="20">
        <v>1168.5999999999999</v>
      </c>
      <c r="AD39" s="20">
        <v>233.755</v>
      </c>
      <c r="AE39" s="20">
        <v>0.75700000000000001</v>
      </c>
      <c r="AF39" s="20">
        <v>0.56120000000000003</v>
      </c>
    </row>
    <row r="40" spans="1:32">
      <c r="A40" s="20" t="s">
        <v>8</v>
      </c>
      <c r="B40" s="20" t="s">
        <v>11</v>
      </c>
      <c r="C40" s="20" t="s">
        <v>8</v>
      </c>
      <c r="D40" s="20" t="s">
        <v>8</v>
      </c>
      <c r="E40" s="20">
        <v>498.1</v>
      </c>
      <c r="F40" s="20">
        <v>74.350800000000007</v>
      </c>
      <c r="G40" s="20">
        <v>0.75641000000000003</v>
      </c>
      <c r="H40" s="20">
        <v>0.67720000000000002</v>
      </c>
      <c r="Y40" s="20" t="s">
        <v>8</v>
      </c>
      <c r="Z40" s="20" t="s">
        <v>11</v>
      </c>
      <c r="AA40" s="20" t="s">
        <v>8</v>
      </c>
      <c r="AB40" s="20" t="s">
        <v>9</v>
      </c>
      <c r="AC40" s="20">
        <v>2080.1</v>
      </c>
      <c r="AD40" s="20">
        <v>565.73900000000003</v>
      </c>
      <c r="AE40" s="20">
        <v>0.75961999999999996</v>
      </c>
      <c r="AF40" s="20">
        <v>0</v>
      </c>
    </row>
    <row r="41" spans="1:32">
      <c r="A41" s="20" t="s">
        <v>9</v>
      </c>
      <c r="B41" s="20" t="s">
        <v>11</v>
      </c>
      <c r="C41" s="20" t="s">
        <v>8</v>
      </c>
      <c r="D41" s="20" t="s">
        <v>8</v>
      </c>
      <c r="E41" s="20">
        <v>361.3</v>
      </c>
      <c r="F41" s="20">
        <v>51.263500000000001</v>
      </c>
      <c r="G41" s="20">
        <v>0.75856000000000001</v>
      </c>
      <c r="H41" s="20">
        <v>0.67620000000000002</v>
      </c>
      <c r="Y41" s="20" t="s">
        <v>9</v>
      </c>
      <c r="Z41" s="20" t="s">
        <v>11</v>
      </c>
      <c r="AA41" s="20" t="s">
        <v>8</v>
      </c>
      <c r="AB41" s="20" t="s">
        <v>9</v>
      </c>
      <c r="AC41" s="20">
        <v>2080.1</v>
      </c>
      <c r="AD41" s="20">
        <v>699.65700000000004</v>
      </c>
      <c r="AE41" s="20">
        <v>0.76097999999999999</v>
      </c>
      <c r="AF41" s="20">
        <v>0</v>
      </c>
    </row>
    <row r="42" spans="1:32">
      <c r="A42" s="20" t="s">
        <v>10</v>
      </c>
      <c r="B42" s="20" t="s">
        <v>11</v>
      </c>
      <c r="C42" s="20" t="s">
        <v>8</v>
      </c>
      <c r="D42" s="20" t="s">
        <v>8</v>
      </c>
      <c r="E42" s="20">
        <v>322.3</v>
      </c>
      <c r="F42" s="20">
        <v>44.792900000000003</v>
      </c>
      <c r="G42" s="20">
        <v>0.76153999999999999</v>
      </c>
      <c r="H42" s="20">
        <v>0.67620000000000002</v>
      </c>
      <c r="Y42" s="20" t="s">
        <v>10</v>
      </c>
      <c r="Z42" s="20" t="s">
        <v>11</v>
      </c>
      <c r="AA42" s="20" t="s">
        <v>8</v>
      </c>
      <c r="AB42" s="20" t="s">
        <v>9</v>
      </c>
      <c r="AC42" s="20">
        <v>2080.1</v>
      </c>
      <c r="AD42" s="20">
        <v>551.43600000000004</v>
      </c>
      <c r="AE42" s="20">
        <v>0.7581</v>
      </c>
      <c r="AF42" s="20">
        <v>0</v>
      </c>
    </row>
    <row r="43" spans="1:32">
      <c r="A43" s="20" t="s">
        <v>11</v>
      </c>
      <c r="B43" s="20" t="s">
        <v>11</v>
      </c>
      <c r="C43" s="20" t="s">
        <v>8</v>
      </c>
      <c r="D43" s="20" t="s">
        <v>8</v>
      </c>
      <c r="E43" s="20">
        <v>312.5</v>
      </c>
      <c r="F43" s="20">
        <v>42.8782</v>
      </c>
      <c r="G43" s="20">
        <v>0.75497999999999998</v>
      </c>
      <c r="H43" s="20">
        <v>0.67720000000000002</v>
      </c>
      <c r="Y43" s="20" t="s">
        <v>11</v>
      </c>
      <c r="Z43" s="20" t="s">
        <v>11</v>
      </c>
      <c r="AA43" s="20" t="s">
        <v>8</v>
      </c>
      <c r="AB43" s="20" t="s">
        <v>9</v>
      </c>
      <c r="AC43" s="20">
        <v>1845.7</v>
      </c>
      <c r="AD43" s="20">
        <v>415.36399999999998</v>
      </c>
      <c r="AE43" s="20">
        <v>0.75614000000000003</v>
      </c>
      <c r="AF43" s="20">
        <v>0.1661</v>
      </c>
    </row>
    <row r="44" spans="1:32">
      <c r="A44" s="20" t="s">
        <v>12</v>
      </c>
      <c r="B44" s="20" t="s">
        <v>11</v>
      </c>
      <c r="C44" s="20" t="s">
        <v>8</v>
      </c>
      <c r="D44" s="20" t="s">
        <v>8</v>
      </c>
      <c r="E44" s="20">
        <v>296.2</v>
      </c>
      <c r="F44" s="20">
        <v>41.109900000000003</v>
      </c>
      <c r="G44" s="20">
        <v>0.76009000000000004</v>
      </c>
      <c r="H44" s="20">
        <v>0.67810000000000004</v>
      </c>
      <c r="Y44" s="20" t="s">
        <v>12</v>
      </c>
      <c r="Z44" s="20" t="s">
        <v>11</v>
      </c>
      <c r="AA44" s="20" t="s">
        <v>8</v>
      </c>
      <c r="AB44" s="20" t="s">
        <v>9</v>
      </c>
      <c r="AC44" s="20">
        <v>1474.6</v>
      </c>
      <c r="AD44" s="20">
        <v>322.15800000000002</v>
      </c>
      <c r="AE44" s="20">
        <v>0.75551000000000001</v>
      </c>
      <c r="AF44" s="20">
        <v>0.3921</v>
      </c>
    </row>
    <row r="45" spans="1:32">
      <c r="A45" s="20" t="s">
        <v>13</v>
      </c>
      <c r="B45" s="20" t="s">
        <v>11</v>
      </c>
      <c r="C45" s="20" t="s">
        <v>8</v>
      </c>
      <c r="D45" s="20" t="s">
        <v>8</v>
      </c>
      <c r="E45" s="20">
        <v>293</v>
      </c>
      <c r="F45" s="20">
        <v>41.034799999999997</v>
      </c>
      <c r="G45" s="20">
        <v>0.75439000000000001</v>
      </c>
      <c r="H45" s="20">
        <v>0.67810000000000004</v>
      </c>
      <c r="Y45" s="20" t="s">
        <v>13</v>
      </c>
      <c r="Z45" s="20" t="s">
        <v>11</v>
      </c>
      <c r="AA45" s="20" t="s">
        <v>8</v>
      </c>
      <c r="AB45" s="20" t="s">
        <v>9</v>
      </c>
      <c r="AC45" s="20">
        <v>1367.2</v>
      </c>
      <c r="AD45" s="20">
        <v>272.74400000000003</v>
      </c>
      <c r="AE45" s="20">
        <v>0.75429000000000002</v>
      </c>
      <c r="AF45" s="20">
        <v>0.46679999999999999</v>
      </c>
    </row>
    <row r="46" spans="1:32">
      <c r="A46" s="20" t="s">
        <v>14</v>
      </c>
      <c r="B46" s="20" t="s">
        <v>11</v>
      </c>
      <c r="C46" s="20" t="s">
        <v>8</v>
      </c>
      <c r="D46" s="20" t="s">
        <v>8</v>
      </c>
      <c r="E46" s="20">
        <v>309.2</v>
      </c>
      <c r="F46" s="20">
        <v>40.5</v>
      </c>
      <c r="G46" s="20">
        <v>0.75468000000000002</v>
      </c>
      <c r="H46" s="20">
        <v>0.67520000000000002</v>
      </c>
      <c r="Y46" s="20" t="s">
        <v>14</v>
      </c>
      <c r="Z46" s="20" t="s">
        <v>11</v>
      </c>
      <c r="AA46" s="20" t="s">
        <v>8</v>
      </c>
      <c r="AB46" s="20" t="s">
        <v>9</v>
      </c>
      <c r="AC46" s="20">
        <v>1168.5999999999999</v>
      </c>
      <c r="AD46" s="20">
        <v>232.18100000000001</v>
      </c>
      <c r="AE46" s="20">
        <v>0.75492000000000004</v>
      </c>
      <c r="AF46" s="20">
        <v>0.58079999999999998</v>
      </c>
    </row>
    <row r="47" spans="1:32">
      <c r="A47" s="20" t="s">
        <v>15</v>
      </c>
      <c r="B47" s="20" t="s">
        <v>11</v>
      </c>
      <c r="C47" s="20" t="s">
        <v>8</v>
      </c>
      <c r="D47" s="20" t="s">
        <v>8</v>
      </c>
      <c r="E47" s="20">
        <v>296.2</v>
      </c>
      <c r="F47" s="20">
        <v>40.877800000000001</v>
      </c>
      <c r="G47" s="20">
        <v>0.75431999999999999</v>
      </c>
      <c r="H47" s="20">
        <v>0.67420000000000002</v>
      </c>
      <c r="Y47" s="20" t="s">
        <v>15</v>
      </c>
      <c r="Z47" s="20" t="s">
        <v>11</v>
      </c>
      <c r="AA47" s="20" t="s">
        <v>8</v>
      </c>
      <c r="AB47" s="20" t="s">
        <v>9</v>
      </c>
      <c r="AC47" s="20">
        <v>963.6</v>
      </c>
      <c r="AD47" s="20">
        <v>204.154</v>
      </c>
      <c r="AE47" s="20">
        <v>0.75455000000000005</v>
      </c>
      <c r="AF47" s="20">
        <v>0.61329999999999996</v>
      </c>
    </row>
    <row r="48" spans="1:32">
      <c r="A48" s="20" t="s">
        <v>8</v>
      </c>
      <c r="B48" s="20" t="s">
        <v>12</v>
      </c>
      <c r="C48" s="20" t="s">
        <v>8</v>
      </c>
      <c r="D48" s="20" t="s">
        <v>8</v>
      </c>
      <c r="E48" s="20">
        <v>501.3</v>
      </c>
      <c r="F48" s="20">
        <v>71.759500000000003</v>
      </c>
      <c r="G48" s="20">
        <v>0.75929000000000002</v>
      </c>
      <c r="H48" s="20">
        <v>0.67130000000000001</v>
      </c>
      <c r="Y48" s="20" t="s">
        <v>8</v>
      </c>
      <c r="Z48" s="20" t="s">
        <v>12</v>
      </c>
      <c r="AA48" s="20" t="s">
        <v>8</v>
      </c>
      <c r="AB48" s="20" t="s">
        <v>9</v>
      </c>
      <c r="AC48" s="20">
        <v>2080.1</v>
      </c>
      <c r="AD48" s="20">
        <v>540.68700000000001</v>
      </c>
      <c r="AE48" s="20">
        <v>0.75727</v>
      </c>
      <c r="AF48" s="20">
        <v>0</v>
      </c>
    </row>
    <row r="49" spans="1:32">
      <c r="A49" s="20" t="s">
        <v>9</v>
      </c>
      <c r="B49" s="20" t="s">
        <v>12</v>
      </c>
      <c r="C49" s="20" t="s">
        <v>8</v>
      </c>
      <c r="D49" s="20" t="s">
        <v>8</v>
      </c>
      <c r="E49" s="20">
        <v>371.1</v>
      </c>
      <c r="F49" s="20">
        <v>49.403799999999997</v>
      </c>
      <c r="G49" s="20">
        <v>0.76061999999999996</v>
      </c>
      <c r="H49" s="20">
        <v>0.67620000000000002</v>
      </c>
      <c r="Y49" s="20" t="s">
        <v>9</v>
      </c>
      <c r="Z49" s="20" t="s">
        <v>12</v>
      </c>
      <c r="AA49" s="20" t="s">
        <v>8</v>
      </c>
      <c r="AB49" s="20" t="s">
        <v>9</v>
      </c>
      <c r="AC49" s="20">
        <v>2080.1</v>
      </c>
      <c r="AD49" s="20">
        <v>695.98199999999997</v>
      </c>
      <c r="AE49" s="20">
        <v>0.75895999999999997</v>
      </c>
      <c r="AF49" s="20">
        <v>0</v>
      </c>
    </row>
    <row r="50" spans="1:32">
      <c r="A50" s="20" t="s">
        <v>10</v>
      </c>
      <c r="B50" s="20" t="s">
        <v>12</v>
      </c>
      <c r="C50" s="20" t="s">
        <v>8</v>
      </c>
      <c r="D50" s="20" t="s">
        <v>8</v>
      </c>
      <c r="E50" s="20">
        <v>322.3</v>
      </c>
      <c r="F50" s="20">
        <v>44.951300000000003</v>
      </c>
      <c r="G50" s="20">
        <v>0.75624000000000002</v>
      </c>
      <c r="H50" s="20">
        <v>0.67620000000000002</v>
      </c>
      <c r="Y50" s="20" t="s">
        <v>10</v>
      </c>
      <c r="Z50" s="20" t="s">
        <v>12</v>
      </c>
      <c r="AA50" s="20" t="s">
        <v>8</v>
      </c>
      <c r="AB50" s="20" t="s">
        <v>9</v>
      </c>
      <c r="AC50" s="20">
        <v>2067.1</v>
      </c>
      <c r="AD50" s="20">
        <v>508.25400000000002</v>
      </c>
      <c r="AE50" s="20">
        <v>0.75734000000000001</v>
      </c>
      <c r="AF50" s="20">
        <v>0</v>
      </c>
    </row>
    <row r="51" spans="1:32">
      <c r="A51" s="20" t="s">
        <v>11</v>
      </c>
      <c r="B51" s="20" t="s">
        <v>12</v>
      </c>
      <c r="C51" s="20" t="s">
        <v>8</v>
      </c>
      <c r="D51" s="20" t="s">
        <v>8</v>
      </c>
      <c r="E51" s="20">
        <v>302.7</v>
      </c>
      <c r="F51" s="20">
        <v>42.773499999999999</v>
      </c>
      <c r="G51" s="20">
        <v>0.75756999999999997</v>
      </c>
      <c r="H51" s="20">
        <v>0.67810000000000004</v>
      </c>
      <c r="Y51" s="20" t="s">
        <v>11</v>
      </c>
      <c r="Z51" s="20" t="s">
        <v>12</v>
      </c>
      <c r="AA51" s="20" t="s">
        <v>8</v>
      </c>
      <c r="AB51" s="20" t="s">
        <v>9</v>
      </c>
      <c r="AC51" s="20">
        <v>1543</v>
      </c>
      <c r="AD51" s="20">
        <v>383.53300000000002</v>
      </c>
      <c r="AE51" s="20">
        <v>0.75704000000000005</v>
      </c>
      <c r="AF51" s="20">
        <v>0</v>
      </c>
    </row>
    <row r="52" spans="1:32">
      <c r="A52" s="20" t="s">
        <v>12</v>
      </c>
      <c r="B52" s="20" t="s">
        <v>12</v>
      </c>
      <c r="C52" s="20" t="s">
        <v>8</v>
      </c>
      <c r="D52" s="20" t="s">
        <v>8</v>
      </c>
      <c r="E52" s="20">
        <v>289.7</v>
      </c>
      <c r="F52" s="20">
        <v>41.296500000000002</v>
      </c>
      <c r="G52" s="20">
        <v>0.75641000000000003</v>
      </c>
      <c r="H52" s="20">
        <v>0.67720000000000002</v>
      </c>
      <c r="Y52" s="20" t="s">
        <v>12</v>
      </c>
      <c r="Z52" s="20" t="s">
        <v>12</v>
      </c>
      <c r="AA52" s="20" t="s">
        <v>8</v>
      </c>
      <c r="AB52" s="20" t="s">
        <v>9</v>
      </c>
      <c r="AC52" s="20">
        <v>1530</v>
      </c>
      <c r="AD52" s="20">
        <v>303.28300000000002</v>
      </c>
      <c r="AE52" s="20">
        <v>0.75510999999999995</v>
      </c>
      <c r="AF52" s="20">
        <v>0.39510000000000001</v>
      </c>
    </row>
    <row r="53" spans="1:32">
      <c r="A53" s="20" t="s">
        <v>13</v>
      </c>
      <c r="B53" s="20" t="s">
        <v>12</v>
      </c>
      <c r="C53" s="20" t="s">
        <v>8</v>
      </c>
      <c r="D53" s="20" t="s">
        <v>8</v>
      </c>
      <c r="E53" s="20">
        <v>296.2</v>
      </c>
      <c r="F53" s="20">
        <v>40.703800000000001</v>
      </c>
      <c r="G53" s="20">
        <v>0.75849999999999995</v>
      </c>
      <c r="H53" s="20">
        <v>0.67910000000000004</v>
      </c>
      <c r="Y53" s="20" t="s">
        <v>13</v>
      </c>
      <c r="Z53" s="20" t="s">
        <v>12</v>
      </c>
      <c r="AA53" s="20" t="s">
        <v>8</v>
      </c>
      <c r="AB53" s="20" t="s">
        <v>9</v>
      </c>
      <c r="AC53" s="20">
        <v>1129.5999999999999</v>
      </c>
      <c r="AD53" s="20">
        <v>251.20099999999999</v>
      </c>
      <c r="AE53" s="20">
        <v>0.75949</v>
      </c>
      <c r="AF53" s="20">
        <v>0.55430000000000001</v>
      </c>
    </row>
    <row r="54" spans="1:32">
      <c r="A54" s="20" t="s">
        <v>14</v>
      </c>
      <c r="B54" s="20" t="s">
        <v>12</v>
      </c>
      <c r="C54" s="20" t="s">
        <v>8</v>
      </c>
      <c r="D54" s="20" t="s">
        <v>8</v>
      </c>
      <c r="E54" s="20">
        <v>293</v>
      </c>
      <c r="F54" s="20">
        <v>40.232100000000003</v>
      </c>
      <c r="G54" s="20">
        <v>0.75636999999999999</v>
      </c>
      <c r="H54" s="20">
        <v>0.67810000000000004</v>
      </c>
      <c r="Y54" s="20" t="s">
        <v>14</v>
      </c>
      <c r="Z54" s="20" t="s">
        <v>12</v>
      </c>
      <c r="AA54" s="20" t="s">
        <v>8</v>
      </c>
      <c r="AB54" s="20" t="s">
        <v>9</v>
      </c>
      <c r="AC54" s="20">
        <v>999.4</v>
      </c>
      <c r="AD54" s="20">
        <v>217.12</v>
      </c>
      <c r="AE54" s="20">
        <v>0.75777000000000005</v>
      </c>
      <c r="AF54" s="20">
        <v>0.58079999999999998</v>
      </c>
    </row>
    <row r="55" spans="1:32">
      <c r="A55" s="20" t="s">
        <v>15</v>
      </c>
      <c r="B55" s="20" t="s">
        <v>12</v>
      </c>
      <c r="C55" s="20" t="s">
        <v>8</v>
      </c>
      <c r="D55" s="20" t="s">
        <v>8</v>
      </c>
      <c r="E55" s="20">
        <v>319</v>
      </c>
      <c r="F55" s="20">
        <v>40.264099999999999</v>
      </c>
      <c r="G55" s="20">
        <v>0.75651000000000002</v>
      </c>
      <c r="H55" s="20">
        <v>0.67620000000000002</v>
      </c>
      <c r="Y55" s="20" t="s">
        <v>15</v>
      </c>
      <c r="Z55" s="20" t="s">
        <v>12</v>
      </c>
      <c r="AA55" s="20" t="s">
        <v>8</v>
      </c>
      <c r="AB55" s="20" t="s">
        <v>9</v>
      </c>
      <c r="AC55" s="20">
        <v>927.7</v>
      </c>
      <c r="AD55" s="20">
        <v>190.435</v>
      </c>
      <c r="AE55" s="20">
        <v>0.75680999999999998</v>
      </c>
      <c r="AF55" s="20">
        <v>0.58479999999999999</v>
      </c>
    </row>
    <row r="56" spans="1:32">
      <c r="A56" s="20" t="s">
        <v>8</v>
      </c>
      <c r="B56" s="20" t="s">
        <v>13</v>
      </c>
      <c r="C56" s="20" t="s">
        <v>8</v>
      </c>
      <c r="D56" s="20" t="s">
        <v>8</v>
      </c>
      <c r="E56" s="20">
        <v>462.2</v>
      </c>
      <c r="F56" s="20">
        <v>67.366900000000001</v>
      </c>
      <c r="G56" s="20">
        <v>0.75975999999999999</v>
      </c>
      <c r="H56" s="20">
        <v>0.67720000000000002</v>
      </c>
      <c r="Y56" s="20" t="s">
        <v>8</v>
      </c>
      <c r="Z56" s="20" t="s">
        <v>13</v>
      </c>
      <c r="AA56" s="20" t="s">
        <v>8</v>
      </c>
      <c r="AB56" s="20" t="s">
        <v>9</v>
      </c>
      <c r="AC56" s="20">
        <v>2080.1</v>
      </c>
      <c r="AD56" s="20">
        <v>554.44600000000003</v>
      </c>
      <c r="AE56" s="20">
        <v>0.75873000000000002</v>
      </c>
      <c r="AF56" s="20">
        <v>0</v>
      </c>
    </row>
    <row r="57" spans="1:32">
      <c r="A57" s="20" t="s">
        <v>9</v>
      </c>
      <c r="B57" s="20" t="s">
        <v>13</v>
      </c>
      <c r="C57" s="20" t="s">
        <v>8</v>
      </c>
      <c r="D57" s="20" t="s">
        <v>8</v>
      </c>
      <c r="E57" s="20">
        <v>361.3</v>
      </c>
      <c r="F57" s="20">
        <v>49.5428</v>
      </c>
      <c r="G57" s="20">
        <v>0.75693999999999995</v>
      </c>
      <c r="H57" s="20">
        <v>0.67720000000000002</v>
      </c>
      <c r="Y57" s="20" t="s">
        <v>9</v>
      </c>
      <c r="Z57" s="20" t="s">
        <v>13</v>
      </c>
      <c r="AA57" s="20" t="s">
        <v>8</v>
      </c>
      <c r="AB57" s="20" t="s">
        <v>9</v>
      </c>
      <c r="AC57" s="20">
        <v>2080.1</v>
      </c>
      <c r="AD57" s="20">
        <v>669.98500000000001</v>
      </c>
      <c r="AE57" s="20">
        <v>0.7581</v>
      </c>
      <c r="AF57" s="20">
        <v>0</v>
      </c>
    </row>
    <row r="58" spans="1:32">
      <c r="A58" s="20" t="s">
        <v>10</v>
      </c>
      <c r="B58" s="20" t="s">
        <v>13</v>
      </c>
      <c r="C58" s="20" t="s">
        <v>8</v>
      </c>
      <c r="D58" s="20" t="s">
        <v>8</v>
      </c>
      <c r="E58" s="20">
        <v>328.8</v>
      </c>
      <c r="F58" s="20">
        <v>44.873600000000003</v>
      </c>
      <c r="G58" s="20">
        <v>0.75485000000000002</v>
      </c>
      <c r="H58" s="20">
        <v>0.67720000000000002</v>
      </c>
      <c r="Y58" s="20" t="s">
        <v>10</v>
      </c>
      <c r="Z58" s="20" t="s">
        <v>13</v>
      </c>
      <c r="AA58" s="20" t="s">
        <v>8</v>
      </c>
      <c r="AB58" s="20" t="s">
        <v>9</v>
      </c>
      <c r="AC58" s="20">
        <v>1940.1</v>
      </c>
      <c r="AD58" s="20">
        <v>477.20699999999999</v>
      </c>
      <c r="AE58" s="20">
        <v>0.75621000000000005</v>
      </c>
      <c r="AF58" s="20">
        <v>4.9099999999999998E-2</v>
      </c>
    </row>
    <row r="59" spans="1:32">
      <c r="A59" s="20" t="s">
        <v>11</v>
      </c>
      <c r="B59" s="20" t="s">
        <v>13</v>
      </c>
      <c r="C59" s="20" t="s">
        <v>8</v>
      </c>
      <c r="D59" s="20" t="s">
        <v>8</v>
      </c>
      <c r="E59" s="20">
        <v>302.7</v>
      </c>
      <c r="F59" s="20">
        <v>42.6952</v>
      </c>
      <c r="G59" s="20">
        <v>0.75385999999999997</v>
      </c>
      <c r="H59" s="20">
        <v>0.67520000000000002</v>
      </c>
      <c r="Y59" s="20" t="s">
        <v>11</v>
      </c>
      <c r="Z59" s="20" t="s">
        <v>13</v>
      </c>
      <c r="AA59" s="20" t="s">
        <v>8</v>
      </c>
      <c r="AB59" s="20" t="s">
        <v>9</v>
      </c>
      <c r="AC59" s="20">
        <v>1507.2</v>
      </c>
      <c r="AD59" s="20">
        <v>365.44099999999997</v>
      </c>
      <c r="AE59" s="20">
        <v>0.75663999999999998</v>
      </c>
      <c r="AF59" s="20">
        <v>6.88E-2</v>
      </c>
    </row>
    <row r="60" spans="1:32">
      <c r="A60" s="20" t="s">
        <v>12</v>
      </c>
      <c r="B60" s="20" t="s">
        <v>13</v>
      </c>
      <c r="C60" s="20" t="s">
        <v>8</v>
      </c>
      <c r="D60" s="20" t="s">
        <v>8</v>
      </c>
      <c r="E60" s="20">
        <v>312.5</v>
      </c>
      <c r="F60" s="20">
        <v>41.2532</v>
      </c>
      <c r="G60" s="20">
        <v>0.75883</v>
      </c>
      <c r="H60" s="20">
        <v>0.67420000000000002</v>
      </c>
      <c r="Y60" s="20" t="s">
        <v>12</v>
      </c>
      <c r="Z60" s="20" t="s">
        <v>13</v>
      </c>
      <c r="AA60" s="20" t="s">
        <v>8</v>
      </c>
      <c r="AB60" s="20" t="s">
        <v>9</v>
      </c>
      <c r="AC60" s="20">
        <v>1377</v>
      </c>
      <c r="AD60" s="20">
        <v>282.87200000000001</v>
      </c>
      <c r="AE60" s="20">
        <v>0.75683999999999996</v>
      </c>
      <c r="AF60" s="20">
        <v>0.47270000000000001</v>
      </c>
    </row>
    <row r="61" spans="1:32">
      <c r="A61" s="20" t="s">
        <v>13</v>
      </c>
      <c r="B61" s="20" t="s">
        <v>13</v>
      </c>
      <c r="C61" s="20" t="s">
        <v>8</v>
      </c>
      <c r="D61" s="20" t="s">
        <v>8</v>
      </c>
      <c r="E61" s="20">
        <v>302.7</v>
      </c>
      <c r="F61" s="20">
        <v>40.597799999999999</v>
      </c>
      <c r="G61" s="20">
        <v>0.75905999999999996</v>
      </c>
      <c r="H61" s="20">
        <v>0.67720000000000002</v>
      </c>
      <c r="Y61" s="20" t="s">
        <v>13</v>
      </c>
      <c r="Z61" s="20" t="s">
        <v>13</v>
      </c>
      <c r="AA61" s="20" t="s">
        <v>8</v>
      </c>
      <c r="AB61" s="20" t="s">
        <v>9</v>
      </c>
      <c r="AC61" s="20">
        <v>1168.5999999999999</v>
      </c>
      <c r="AD61" s="20">
        <v>238.65700000000001</v>
      </c>
      <c r="AE61" s="20">
        <v>0.75510999999999995</v>
      </c>
      <c r="AF61" s="20">
        <v>0.56610000000000005</v>
      </c>
    </row>
    <row r="62" spans="1:32">
      <c r="A62" s="20" t="s">
        <v>14</v>
      </c>
      <c r="B62" s="20" t="s">
        <v>13</v>
      </c>
      <c r="C62" s="20" t="s">
        <v>8</v>
      </c>
      <c r="D62" s="20" t="s">
        <v>8</v>
      </c>
      <c r="E62" s="20">
        <v>312.5</v>
      </c>
      <c r="F62" s="20">
        <v>40.624099999999999</v>
      </c>
      <c r="G62" s="20">
        <v>0.75849999999999995</v>
      </c>
      <c r="H62" s="20">
        <v>0.67810000000000004</v>
      </c>
      <c r="Y62" s="20" t="s">
        <v>14</v>
      </c>
      <c r="Z62" s="20" t="s">
        <v>13</v>
      </c>
      <c r="AA62" s="20" t="s">
        <v>8</v>
      </c>
      <c r="AB62" s="20" t="s">
        <v>9</v>
      </c>
      <c r="AC62" s="20">
        <v>1012.4</v>
      </c>
      <c r="AD62" s="20">
        <v>209.84</v>
      </c>
      <c r="AE62" s="20">
        <v>0.75783</v>
      </c>
      <c r="AF62" s="20">
        <v>0.60740000000000005</v>
      </c>
    </row>
    <row r="63" spans="1:32">
      <c r="A63" s="20" t="s">
        <v>15</v>
      </c>
      <c r="B63" s="20" t="s">
        <v>13</v>
      </c>
      <c r="C63" s="20" t="s">
        <v>8</v>
      </c>
      <c r="D63" s="20" t="s">
        <v>8</v>
      </c>
      <c r="E63" s="20">
        <v>293</v>
      </c>
      <c r="F63" s="20">
        <v>40.4711</v>
      </c>
      <c r="G63" s="20">
        <v>0.75527999999999995</v>
      </c>
      <c r="H63" s="20">
        <v>0.67810000000000004</v>
      </c>
      <c r="Y63" s="20" t="s">
        <v>15</v>
      </c>
      <c r="Z63" s="20" t="s">
        <v>13</v>
      </c>
      <c r="AA63" s="20" t="s">
        <v>8</v>
      </c>
      <c r="AB63" s="20" t="s">
        <v>9</v>
      </c>
      <c r="AC63" s="20">
        <v>901.7</v>
      </c>
      <c r="AD63" s="20">
        <v>185.52699999999999</v>
      </c>
      <c r="AE63" s="20">
        <v>0.75826000000000005</v>
      </c>
      <c r="AF63" s="20">
        <v>0.629</v>
      </c>
    </row>
    <row r="64" spans="1:32">
      <c r="A64" s="20" t="s">
        <v>8</v>
      </c>
      <c r="B64" s="20" t="s">
        <v>14</v>
      </c>
      <c r="C64" s="20" t="s">
        <v>8</v>
      </c>
      <c r="D64" s="20" t="s">
        <v>8</v>
      </c>
      <c r="E64" s="20">
        <v>478.5</v>
      </c>
      <c r="F64" s="20">
        <v>65.730900000000005</v>
      </c>
      <c r="G64" s="20">
        <v>0.75527999999999995</v>
      </c>
      <c r="H64" s="20">
        <v>0.67810000000000004</v>
      </c>
      <c r="Y64" s="20" t="s">
        <v>8</v>
      </c>
      <c r="Z64" s="20" t="s">
        <v>14</v>
      </c>
      <c r="AA64" s="20" t="s">
        <v>8</v>
      </c>
      <c r="AB64" s="20" t="s">
        <v>9</v>
      </c>
      <c r="AC64" s="20">
        <v>2080.1</v>
      </c>
      <c r="AD64" s="20">
        <v>561.65899999999999</v>
      </c>
      <c r="AE64" s="20">
        <v>0.76075000000000004</v>
      </c>
      <c r="AF64" s="20">
        <v>0</v>
      </c>
    </row>
    <row r="65" spans="1:47">
      <c r="A65" s="20" t="s">
        <v>9</v>
      </c>
      <c r="B65" s="20" t="s">
        <v>14</v>
      </c>
      <c r="C65" s="20" t="s">
        <v>8</v>
      </c>
      <c r="D65" s="20" t="s">
        <v>8</v>
      </c>
      <c r="E65" s="20">
        <v>374.4</v>
      </c>
      <c r="F65" s="20">
        <v>49.554499999999997</v>
      </c>
      <c r="G65" s="20">
        <v>0.75787000000000004</v>
      </c>
      <c r="H65" s="20">
        <v>0.68010000000000004</v>
      </c>
      <c r="Y65" s="20" t="s">
        <v>9</v>
      </c>
      <c r="Z65" s="20" t="s">
        <v>14</v>
      </c>
      <c r="AA65" s="20" t="s">
        <v>8</v>
      </c>
      <c r="AB65" s="20" t="s">
        <v>9</v>
      </c>
      <c r="AC65" s="20">
        <v>2080.1</v>
      </c>
      <c r="AD65" s="20">
        <v>644.68299999999999</v>
      </c>
      <c r="AE65" s="20">
        <v>0.75905999999999996</v>
      </c>
      <c r="AF65" s="20">
        <v>0</v>
      </c>
    </row>
    <row r="66" spans="1:47">
      <c r="A66" s="20" t="s">
        <v>10</v>
      </c>
      <c r="B66" s="20" t="s">
        <v>14</v>
      </c>
      <c r="C66" s="20" t="s">
        <v>8</v>
      </c>
      <c r="D66" s="20" t="s">
        <v>8</v>
      </c>
      <c r="E66" s="20">
        <v>322.3</v>
      </c>
      <c r="F66" s="20">
        <v>44.270299999999999</v>
      </c>
      <c r="G66" s="20">
        <v>0.75939000000000001</v>
      </c>
      <c r="H66" s="20">
        <v>0.67810000000000004</v>
      </c>
      <c r="Y66" s="20" t="s">
        <v>10</v>
      </c>
      <c r="Z66" s="20" t="s">
        <v>14</v>
      </c>
      <c r="AA66" s="20" t="s">
        <v>8</v>
      </c>
      <c r="AB66" s="20" t="s">
        <v>9</v>
      </c>
      <c r="AC66" s="20">
        <v>2021.5</v>
      </c>
      <c r="AD66" s="20">
        <v>457.38</v>
      </c>
      <c r="AE66" s="20">
        <v>0.75510999999999995</v>
      </c>
      <c r="AF66" s="20">
        <v>7.6700000000000004E-2</v>
      </c>
    </row>
    <row r="67" spans="1:47">
      <c r="A67" s="20" t="s">
        <v>11</v>
      </c>
      <c r="B67" s="20" t="s">
        <v>14</v>
      </c>
      <c r="C67" s="20" t="s">
        <v>8</v>
      </c>
      <c r="D67" s="20" t="s">
        <v>8</v>
      </c>
      <c r="E67" s="20">
        <v>306</v>
      </c>
      <c r="F67" s="20">
        <v>42.797199999999997</v>
      </c>
      <c r="G67" s="20">
        <v>0.75670999999999999</v>
      </c>
      <c r="H67" s="20">
        <v>0.67620000000000002</v>
      </c>
      <c r="Y67" s="20" t="s">
        <v>11</v>
      </c>
      <c r="Z67" s="20" t="s">
        <v>14</v>
      </c>
      <c r="AA67" s="20" t="s">
        <v>8</v>
      </c>
      <c r="AB67" s="20" t="s">
        <v>9</v>
      </c>
      <c r="AC67" s="20">
        <v>1559.3</v>
      </c>
      <c r="AD67" s="20">
        <v>340.60700000000003</v>
      </c>
      <c r="AE67" s="20">
        <v>0.75617999999999996</v>
      </c>
      <c r="AF67" s="20">
        <v>0.3528</v>
      </c>
    </row>
    <row r="68" spans="1:47">
      <c r="A68" s="20" t="s">
        <v>12</v>
      </c>
      <c r="B68" s="20" t="s">
        <v>14</v>
      </c>
      <c r="C68" s="20" t="s">
        <v>8</v>
      </c>
      <c r="D68" s="20" t="s">
        <v>8</v>
      </c>
      <c r="E68" s="20">
        <v>302.7</v>
      </c>
      <c r="F68" s="20">
        <v>41.281300000000002</v>
      </c>
      <c r="G68" s="20">
        <v>0.75631000000000004</v>
      </c>
      <c r="H68" s="20">
        <v>0.67620000000000002</v>
      </c>
      <c r="Y68" s="20" t="s">
        <v>12</v>
      </c>
      <c r="Z68" s="20" t="s">
        <v>14</v>
      </c>
      <c r="AA68" s="20" t="s">
        <v>8</v>
      </c>
      <c r="AB68" s="20" t="s">
        <v>9</v>
      </c>
      <c r="AC68" s="20">
        <v>1331.4</v>
      </c>
      <c r="AD68" s="20">
        <v>273.572</v>
      </c>
      <c r="AE68" s="20">
        <v>0.75580999999999998</v>
      </c>
      <c r="AF68" s="20">
        <v>0.46189999999999998</v>
      </c>
    </row>
    <row r="69" spans="1:47">
      <c r="A69" s="20" t="s">
        <v>13</v>
      </c>
      <c r="B69" s="20" t="s">
        <v>14</v>
      </c>
      <c r="C69" s="20" t="s">
        <v>8</v>
      </c>
      <c r="D69" s="20" t="s">
        <v>8</v>
      </c>
      <c r="E69" s="20">
        <v>315.8</v>
      </c>
      <c r="F69" s="20">
        <v>41.091099999999997</v>
      </c>
      <c r="G69" s="20">
        <v>0.75424999999999998</v>
      </c>
      <c r="H69" s="20">
        <v>0.67620000000000002</v>
      </c>
      <c r="Y69" s="20" t="s">
        <v>13</v>
      </c>
      <c r="Z69" s="20" t="s">
        <v>14</v>
      </c>
      <c r="AA69" s="20" t="s">
        <v>8</v>
      </c>
      <c r="AB69" s="20" t="s">
        <v>9</v>
      </c>
      <c r="AC69" s="20">
        <v>1080.7</v>
      </c>
      <c r="AD69" s="20">
        <v>227.72399999999999</v>
      </c>
      <c r="AE69" s="20">
        <v>0.75783</v>
      </c>
      <c r="AF69" s="20">
        <v>0.5887</v>
      </c>
    </row>
    <row r="70" spans="1:47" s="71" customFormat="1">
      <c r="A70" s="66" t="s">
        <v>14</v>
      </c>
      <c r="B70" s="66" t="s">
        <v>14</v>
      </c>
      <c r="C70" s="66" t="s">
        <v>8</v>
      </c>
      <c r="D70" s="66" t="s">
        <v>8</v>
      </c>
      <c r="E70" s="66">
        <v>322.3</v>
      </c>
      <c r="F70" s="66">
        <v>40.9236</v>
      </c>
      <c r="G70" s="66">
        <v>0.75707000000000002</v>
      </c>
      <c r="H70" s="66">
        <v>0.67810000000000004</v>
      </c>
      <c r="U70" s="72"/>
      <c r="Y70" s="66" t="s">
        <v>14</v>
      </c>
      <c r="Z70" s="66" t="s">
        <v>14</v>
      </c>
      <c r="AA70" s="66" t="s">
        <v>8</v>
      </c>
      <c r="AB70" s="66" t="s">
        <v>9</v>
      </c>
      <c r="AC70" s="66">
        <v>1012.4</v>
      </c>
      <c r="AD70" s="66">
        <v>200.27</v>
      </c>
      <c r="AE70" s="66">
        <v>0.75570999999999999</v>
      </c>
      <c r="AF70" s="66">
        <v>0.61429999999999996</v>
      </c>
    </row>
    <row r="71" spans="1:47">
      <c r="A71" s="20" t="s">
        <v>15</v>
      </c>
      <c r="B71" s="20" t="s">
        <v>14</v>
      </c>
      <c r="C71" s="20" t="s">
        <v>8</v>
      </c>
      <c r="D71" s="20" t="s">
        <v>8</v>
      </c>
      <c r="E71" s="20">
        <v>325.5</v>
      </c>
      <c r="F71" s="20">
        <v>41.218699999999998</v>
      </c>
      <c r="G71" s="20">
        <v>0.75690000000000002</v>
      </c>
      <c r="H71" s="20">
        <v>0.67720000000000002</v>
      </c>
      <c r="Y71" s="20" t="s">
        <v>15</v>
      </c>
      <c r="Z71" s="20" t="s">
        <v>14</v>
      </c>
      <c r="AA71" s="20" t="s">
        <v>8</v>
      </c>
      <c r="AB71" s="20" t="s">
        <v>9</v>
      </c>
      <c r="AC71" s="20">
        <v>895.2</v>
      </c>
      <c r="AD71" s="20">
        <v>175.81299999999999</v>
      </c>
      <c r="AE71" s="20">
        <v>0.75802999999999998</v>
      </c>
      <c r="AF71" s="20">
        <v>0.63980000000000004</v>
      </c>
    </row>
    <row r="72" spans="1:47">
      <c r="A72" s="20" t="s">
        <v>8</v>
      </c>
      <c r="B72" s="20" t="s">
        <v>15</v>
      </c>
      <c r="C72" s="20" t="s">
        <v>8</v>
      </c>
      <c r="D72" s="20" t="s">
        <v>8</v>
      </c>
      <c r="E72" s="20">
        <v>475.3</v>
      </c>
      <c r="F72" s="20">
        <v>64.9285</v>
      </c>
      <c r="G72" s="20">
        <v>0.75414999999999999</v>
      </c>
      <c r="H72" s="20">
        <v>0.67520000000000002</v>
      </c>
      <c r="Y72" s="20" t="s">
        <v>8</v>
      </c>
      <c r="Z72" s="20" t="s">
        <v>15</v>
      </c>
      <c r="AA72" s="20" t="s">
        <v>8</v>
      </c>
      <c r="AB72" s="20" t="s">
        <v>9</v>
      </c>
      <c r="AC72" s="20">
        <v>2080.1</v>
      </c>
      <c r="AD72" s="20">
        <v>596.87699999999995</v>
      </c>
      <c r="AE72" s="20">
        <v>0.75858999999999999</v>
      </c>
      <c r="AF72" s="20">
        <v>0</v>
      </c>
    </row>
    <row r="73" spans="1:47">
      <c r="A73" s="20" t="s">
        <v>9</v>
      </c>
      <c r="B73" s="20" t="s">
        <v>15</v>
      </c>
      <c r="C73" s="20" t="s">
        <v>8</v>
      </c>
      <c r="D73" s="20" t="s">
        <v>8</v>
      </c>
      <c r="E73" s="20">
        <v>354.8</v>
      </c>
      <c r="F73" s="20">
        <v>48.0563</v>
      </c>
      <c r="G73" s="20">
        <v>0.75756999999999997</v>
      </c>
      <c r="H73" s="20">
        <v>0.67810000000000004</v>
      </c>
      <c r="Y73" s="20" t="s">
        <v>9</v>
      </c>
      <c r="Z73" s="20" t="s">
        <v>15</v>
      </c>
      <c r="AA73" s="20" t="s">
        <v>8</v>
      </c>
      <c r="AB73" s="20" t="s">
        <v>9</v>
      </c>
      <c r="AC73" s="20">
        <v>2080.1</v>
      </c>
      <c r="AD73" s="20">
        <v>605.48800000000006</v>
      </c>
      <c r="AE73" s="20">
        <v>0.75856000000000001</v>
      </c>
      <c r="AF73" s="20">
        <v>0</v>
      </c>
    </row>
    <row r="74" spans="1:47">
      <c r="A74" s="20" t="s">
        <v>10</v>
      </c>
      <c r="B74" s="20" t="s">
        <v>15</v>
      </c>
      <c r="C74" s="20" t="s">
        <v>8</v>
      </c>
      <c r="D74" s="20" t="s">
        <v>8</v>
      </c>
      <c r="E74" s="20">
        <v>319</v>
      </c>
      <c r="F74" s="20">
        <v>43.919400000000003</v>
      </c>
      <c r="G74" s="20">
        <v>0.75687000000000004</v>
      </c>
      <c r="H74" s="20">
        <v>0.68010000000000004</v>
      </c>
      <c r="Y74" s="20" t="s">
        <v>10</v>
      </c>
      <c r="Z74" s="20" t="s">
        <v>15</v>
      </c>
      <c r="AA74" s="20" t="s">
        <v>8</v>
      </c>
      <c r="AB74" s="20" t="s">
        <v>9</v>
      </c>
      <c r="AC74" s="20">
        <v>1793.6</v>
      </c>
      <c r="AD74" s="20">
        <v>429.31700000000001</v>
      </c>
      <c r="AE74" s="20">
        <v>0.75797000000000003</v>
      </c>
      <c r="AF74" s="20">
        <v>0.23100000000000001</v>
      </c>
    </row>
    <row r="75" spans="1:47">
      <c r="A75" s="20" t="s">
        <v>11</v>
      </c>
      <c r="B75" s="20" t="s">
        <v>15</v>
      </c>
      <c r="C75" s="20" t="s">
        <v>8</v>
      </c>
      <c r="D75" s="20" t="s">
        <v>8</v>
      </c>
      <c r="E75" s="20">
        <v>293</v>
      </c>
      <c r="F75" s="20">
        <v>41.693100000000001</v>
      </c>
      <c r="G75" s="20">
        <v>0.75931999999999999</v>
      </c>
      <c r="H75" s="20">
        <v>0.67910000000000004</v>
      </c>
      <c r="Y75" s="20" t="s">
        <v>11</v>
      </c>
      <c r="Z75" s="20" t="s">
        <v>15</v>
      </c>
      <c r="AA75" s="20" t="s">
        <v>8</v>
      </c>
      <c r="AB75" s="20" t="s">
        <v>9</v>
      </c>
      <c r="AC75" s="20">
        <v>1403</v>
      </c>
      <c r="AD75" s="20">
        <v>326.65300000000002</v>
      </c>
      <c r="AE75" s="20">
        <v>0.75700000000000001</v>
      </c>
      <c r="AF75" s="20">
        <v>7.4700000000000003E-2</v>
      </c>
    </row>
    <row r="76" spans="1:47">
      <c r="A76" s="20" t="s">
        <v>12</v>
      </c>
      <c r="B76" s="20" t="s">
        <v>15</v>
      </c>
      <c r="C76" s="20" t="s">
        <v>8</v>
      </c>
      <c r="D76" s="20" t="s">
        <v>8</v>
      </c>
      <c r="E76" s="20">
        <v>299.5</v>
      </c>
      <c r="F76" s="20">
        <v>41.115099999999998</v>
      </c>
      <c r="G76" s="20">
        <v>0.75856000000000001</v>
      </c>
      <c r="H76" s="20">
        <v>0.67720000000000002</v>
      </c>
      <c r="Y76" s="20" t="s">
        <v>12</v>
      </c>
      <c r="Z76" s="20" t="s">
        <v>15</v>
      </c>
      <c r="AA76" s="20" t="s">
        <v>8</v>
      </c>
      <c r="AB76" s="20" t="s">
        <v>9</v>
      </c>
      <c r="AC76" s="20">
        <v>1253.3</v>
      </c>
      <c r="AD76" s="20">
        <v>253.16800000000001</v>
      </c>
      <c r="AE76" s="20">
        <v>0.75800000000000001</v>
      </c>
      <c r="AF76" s="20">
        <v>0.46589999999999998</v>
      </c>
    </row>
    <row r="77" spans="1:47">
      <c r="A77" s="20" t="s">
        <v>13</v>
      </c>
      <c r="B77" s="20" t="s">
        <v>15</v>
      </c>
      <c r="C77" s="20" t="s">
        <v>8</v>
      </c>
      <c r="D77" s="20" t="s">
        <v>8</v>
      </c>
      <c r="E77" s="20">
        <v>309.2</v>
      </c>
      <c r="F77" s="20">
        <v>40.264099999999999</v>
      </c>
      <c r="G77" s="20">
        <v>0.76051999999999997</v>
      </c>
      <c r="H77" s="20">
        <v>0.67720000000000002</v>
      </c>
      <c r="Y77" s="20" t="s">
        <v>13</v>
      </c>
      <c r="Z77" s="20" t="s">
        <v>15</v>
      </c>
      <c r="AA77" s="20" t="s">
        <v>8</v>
      </c>
      <c r="AB77" s="20" t="s">
        <v>9</v>
      </c>
      <c r="AC77" s="20">
        <v>1064.5</v>
      </c>
      <c r="AD77" s="20">
        <v>211.499</v>
      </c>
      <c r="AE77" s="20">
        <v>0.76178000000000001</v>
      </c>
      <c r="AF77" s="20">
        <v>0.58579999999999999</v>
      </c>
    </row>
    <row r="78" spans="1:47">
      <c r="A78" s="20" t="s">
        <v>14</v>
      </c>
      <c r="B78" s="20" t="s">
        <v>15</v>
      </c>
      <c r="C78" s="20" t="s">
        <v>8</v>
      </c>
      <c r="D78" s="20" t="s">
        <v>8</v>
      </c>
      <c r="E78" s="20">
        <v>302.7</v>
      </c>
      <c r="F78" s="20">
        <v>40.594900000000003</v>
      </c>
      <c r="G78" s="20">
        <v>0.75441999999999998</v>
      </c>
      <c r="H78" s="20">
        <v>0.67520000000000002</v>
      </c>
      <c r="Y78" s="20" t="s">
        <v>14</v>
      </c>
      <c r="Z78" s="20" t="s">
        <v>15</v>
      </c>
      <c r="AA78" s="20" t="s">
        <v>8</v>
      </c>
      <c r="AB78" s="20" t="s">
        <v>9</v>
      </c>
      <c r="AC78" s="20">
        <v>973.3</v>
      </c>
      <c r="AD78" s="20">
        <v>186.642</v>
      </c>
      <c r="AE78" s="20">
        <v>0.75561</v>
      </c>
      <c r="AF78" s="20">
        <v>0.63980000000000004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>
      <c r="A79" s="20" t="s">
        <v>15</v>
      </c>
      <c r="B79" s="20" t="s">
        <v>15</v>
      </c>
      <c r="C79" s="20" t="s">
        <v>8</v>
      </c>
      <c r="D79" s="20" t="s">
        <v>8</v>
      </c>
      <c r="E79" s="20">
        <v>302.7</v>
      </c>
      <c r="F79" s="20">
        <v>40.433300000000003</v>
      </c>
      <c r="G79" s="20">
        <v>0.75634000000000001</v>
      </c>
      <c r="H79" s="20">
        <v>0.67720000000000002</v>
      </c>
      <c r="Y79" s="21" t="s">
        <v>15</v>
      </c>
      <c r="Z79" s="21" t="s">
        <v>15</v>
      </c>
      <c r="AA79" s="21" t="s">
        <v>8</v>
      </c>
      <c r="AB79" s="21" t="s">
        <v>9</v>
      </c>
      <c r="AC79" s="21">
        <v>800.8</v>
      </c>
      <c r="AD79" s="21">
        <v>163.34800000000001</v>
      </c>
      <c r="AE79" s="21">
        <v>0.75597999999999999</v>
      </c>
      <c r="AF79" s="21">
        <v>0.65159999999999996</v>
      </c>
      <c r="AG79" s="2"/>
    </row>
    <row r="80" spans="1:47">
      <c r="A80" s="20" t="s">
        <v>8</v>
      </c>
      <c r="B80" s="20" t="s">
        <v>8</v>
      </c>
      <c r="C80" s="20" t="s">
        <v>9</v>
      </c>
      <c r="D80" s="20" t="s">
        <v>8</v>
      </c>
      <c r="E80" s="20">
        <v>729.2</v>
      </c>
      <c r="F80" s="20">
        <v>115.396</v>
      </c>
      <c r="G80" s="20">
        <v>0.76095000000000002</v>
      </c>
      <c r="H80" s="20">
        <v>0.65459999999999996</v>
      </c>
      <c r="Y80" s="20" t="s">
        <v>8</v>
      </c>
      <c r="Z80" s="20" t="s">
        <v>8</v>
      </c>
      <c r="AA80" s="20" t="s">
        <v>9</v>
      </c>
      <c r="AB80" s="20" t="s">
        <v>9</v>
      </c>
      <c r="AC80" s="20">
        <v>2080.1</v>
      </c>
      <c r="AD80" s="20">
        <v>607.15</v>
      </c>
      <c r="AE80" s="20">
        <v>0.76221000000000005</v>
      </c>
      <c r="AF80" s="20">
        <v>0</v>
      </c>
    </row>
    <row r="81" spans="1:32">
      <c r="A81" s="20" t="s">
        <v>9</v>
      </c>
      <c r="B81" s="20" t="s">
        <v>8</v>
      </c>
      <c r="C81" s="20" t="s">
        <v>9</v>
      </c>
      <c r="D81" s="20" t="s">
        <v>8</v>
      </c>
      <c r="E81" s="20">
        <v>459</v>
      </c>
      <c r="F81" s="20">
        <v>62.551099999999998</v>
      </c>
      <c r="G81" s="20">
        <v>0.75461999999999996</v>
      </c>
      <c r="H81" s="20">
        <v>0.67720000000000002</v>
      </c>
      <c r="Y81" s="20" t="s">
        <v>9</v>
      </c>
      <c r="Z81" s="20" t="s">
        <v>8</v>
      </c>
      <c r="AA81" s="20" t="s">
        <v>9</v>
      </c>
      <c r="AB81" s="20" t="s">
        <v>9</v>
      </c>
      <c r="AC81" s="20">
        <v>2080.1</v>
      </c>
      <c r="AD81" s="20">
        <v>565.03300000000002</v>
      </c>
      <c r="AE81" s="20">
        <v>0.75802999999999998</v>
      </c>
      <c r="AF81" s="20">
        <v>0</v>
      </c>
    </row>
    <row r="82" spans="1:32">
      <c r="A82" s="20" t="s">
        <v>10</v>
      </c>
      <c r="B82" s="20" t="s">
        <v>8</v>
      </c>
      <c r="C82" s="20" t="s">
        <v>9</v>
      </c>
      <c r="D82" s="20" t="s">
        <v>8</v>
      </c>
      <c r="E82" s="20">
        <v>374.4</v>
      </c>
      <c r="F82" s="20">
        <v>50.406500000000001</v>
      </c>
      <c r="G82" s="20">
        <v>0.75707000000000002</v>
      </c>
      <c r="H82" s="20">
        <v>0.67420000000000002</v>
      </c>
      <c r="Y82" s="20" t="s">
        <v>10</v>
      </c>
      <c r="Z82" s="20" t="s">
        <v>8</v>
      </c>
      <c r="AA82" s="20" t="s">
        <v>9</v>
      </c>
      <c r="AB82" s="20" t="s">
        <v>9</v>
      </c>
      <c r="AC82" s="20">
        <v>2080.1</v>
      </c>
      <c r="AD82" s="20">
        <v>697.89099999999996</v>
      </c>
      <c r="AE82" s="20">
        <v>0.76065000000000005</v>
      </c>
      <c r="AF82" s="20">
        <v>0</v>
      </c>
    </row>
    <row r="83" spans="1:32">
      <c r="A83" s="20" t="s">
        <v>11</v>
      </c>
      <c r="B83" s="20" t="s">
        <v>8</v>
      </c>
      <c r="C83" s="20" t="s">
        <v>9</v>
      </c>
      <c r="D83" s="20" t="s">
        <v>8</v>
      </c>
      <c r="E83" s="20">
        <v>351.6</v>
      </c>
      <c r="F83" s="20">
        <v>45.840499999999999</v>
      </c>
      <c r="G83" s="20">
        <v>0.75770000000000004</v>
      </c>
      <c r="H83" s="20">
        <v>0.67810000000000004</v>
      </c>
      <c r="Y83" s="20" t="s">
        <v>11</v>
      </c>
      <c r="Z83" s="20" t="s">
        <v>8</v>
      </c>
      <c r="AA83" s="20" t="s">
        <v>9</v>
      </c>
      <c r="AB83" s="20" t="s">
        <v>9</v>
      </c>
      <c r="AC83" s="20">
        <v>2080.1</v>
      </c>
      <c r="AD83" s="20">
        <v>586.32600000000002</v>
      </c>
      <c r="AE83" s="20">
        <v>0.75926000000000005</v>
      </c>
      <c r="AF83" s="20">
        <v>0</v>
      </c>
    </row>
    <row r="84" spans="1:32">
      <c r="A84" s="20" t="s">
        <v>12</v>
      </c>
      <c r="B84" s="20" t="s">
        <v>8</v>
      </c>
      <c r="C84" s="20" t="s">
        <v>9</v>
      </c>
      <c r="D84" s="20" t="s">
        <v>8</v>
      </c>
      <c r="E84" s="20">
        <v>335.3</v>
      </c>
      <c r="F84" s="20">
        <v>42.897300000000001</v>
      </c>
      <c r="G84" s="20">
        <v>0.75797000000000003</v>
      </c>
      <c r="H84" s="20">
        <v>0.67810000000000004</v>
      </c>
      <c r="Y84" s="20" t="s">
        <v>12</v>
      </c>
      <c r="Z84" s="20" t="s">
        <v>8</v>
      </c>
      <c r="AA84" s="20" t="s">
        <v>9</v>
      </c>
      <c r="AB84" s="20" t="s">
        <v>9</v>
      </c>
      <c r="AC84" s="20">
        <v>2080.1</v>
      </c>
      <c r="AD84" s="20">
        <v>565.149</v>
      </c>
      <c r="AE84" s="20">
        <v>0.75663999999999998</v>
      </c>
      <c r="AF84" s="20">
        <v>0</v>
      </c>
    </row>
    <row r="85" spans="1:32">
      <c r="A85" s="20" t="s">
        <v>13</v>
      </c>
      <c r="B85" s="20" t="s">
        <v>8</v>
      </c>
      <c r="C85" s="20" t="s">
        <v>9</v>
      </c>
      <c r="D85" s="20" t="s">
        <v>8</v>
      </c>
      <c r="E85" s="20">
        <v>293</v>
      </c>
      <c r="F85" s="20">
        <v>42.100999999999999</v>
      </c>
      <c r="G85" s="20">
        <v>0.75356000000000001</v>
      </c>
      <c r="H85" s="20">
        <v>0.67520000000000002</v>
      </c>
      <c r="Y85" s="20" t="s">
        <v>13</v>
      </c>
      <c r="Z85" s="20" t="s">
        <v>8</v>
      </c>
      <c r="AA85" s="20" t="s">
        <v>9</v>
      </c>
      <c r="AB85" s="20" t="s">
        <v>9</v>
      </c>
      <c r="AC85" s="20">
        <v>2080.1</v>
      </c>
      <c r="AD85" s="20">
        <v>480.12</v>
      </c>
      <c r="AE85" s="20">
        <v>0.75510999999999995</v>
      </c>
      <c r="AF85" s="20">
        <v>4.8999999999999998E-3</v>
      </c>
    </row>
    <row r="86" spans="1:32">
      <c r="A86" s="20" t="s">
        <v>14</v>
      </c>
      <c r="B86" s="20" t="s">
        <v>8</v>
      </c>
      <c r="C86" s="20" t="s">
        <v>9</v>
      </c>
      <c r="D86" s="20" t="s">
        <v>8</v>
      </c>
      <c r="E86" s="20">
        <v>315.8</v>
      </c>
      <c r="F86" s="20">
        <v>41.228299999999997</v>
      </c>
      <c r="G86" s="20">
        <v>0.75885999999999998</v>
      </c>
      <c r="H86" s="20">
        <v>0.67520000000000002</v>
      </c>
      <c r="Y86" s="20" t="s">
        <v>14</v>
      </c>
      <c r="Z86" s="20" t="s">
        <v>8</v>
      </c>
      <c r="AA86" s="20" t="s">
        <v>9</v>
      </c>
      <c r="AB86" s="20" t="s">
        <v>9</v>
      </c>
      <c r="AC86" s="20">
        <v>1809.9</v>
      </c>
      <c r="AD86" s="20">
        <v>404.40100000000001</v>
      </c>
      <c r="AE86" s="20">
        <v>0.75700000000000001</v>
      </c>
      <c r="AF86" s="20">
        <v>0</v>
      </c>
    </row>
    <row r="87" spans="1:32">
      <c r="A87" s="20" t="s">
        <v>15</v>
      </c>
      <c r="B87" s="20" t="s">
        <v>8</v>
      </c>
      <c r="C87" s="20" t="s">
        <v>9</v>
      </c>
      <c r="D87" s="20" t="s">
        <v>8</v>
      </c>
      <c r="E87" s="20">
        <v>286.5</v>
      </c>
      <c r="F87" s="20">
        <v>40.734099999999998</v>
      </c>
      <c r="G87" s="20">
        <v>0.75538000000000005</v>
      </c>
      <c r="H87" s="20">
        <v>0.67420000000000002</v>
      </c>
      <c r="Y87" s="20" t="s">
        <v>15</v>
      </c>
      <c r="Z87" s="20" t="s">
        <v>8</v>
      </c>
      <c r="AA87" s="20" t="s">
        <v>9</v>
      </c>
      <c r="AB87" s="20" t="s">
        <v>9</v>
      </c>
      <c r="AC87" s="20">
        <v>1624.4</v>
      </c>
      <c r="AD87" s="20">
        <v>348.22300000000001</v>
      </c>
      <c r="AE87" s="20">
        <v>0.75663999999999998</v>
      </c>
      <c r="AF87" s="20">
        <v>0.29089999999999999</v>
      </c>
    </row>
    <row r="88" spans="1:32">
      <c r="A88" s="20" t="s">
        <v>8</v>
      </c>
      <c r="B88" s="20" t="s">
        <v>9</v>
      </c>
      <c r="C88" s="20" t="s">
        <v>9</v>
      </c>
      <c r="D88" s="20" t="s">
        <v>8</v>
      </c>
      <c r="E88" s="20">
        <v>644.5</v>
      </c>
      <c r="F88" s="20">
        <v>100.79900000000001</v>
      </c>
      <c r="G88" s="20">
        <v>0.75395000000000001</v>
      </c>
      <c r="H88" s="20">
        <v>0.66830000000000001</v>
      </c>
      <c r="Y88" s="20" t="s">
        <v>8</v>
      </c>
      <c r="Z88" s="20" t="s">
        <v>9</v>
      </c>
      <c r="AA88" s="20" t="s">
        <v>9</v>
      </c>
      <c r="AB88" s="20" t="s">
        <v>9</v>
      </c>
      <c r="AC88" s="20">
        <v>2080.1</v>
      </c>
      <c r="AD88" s="20">
        <v>597.91300000000001</v>
      </c>
      <c r="AE88" s="20">
        <v>0.76065000000000005</v>
      </c>
      <c r="AF88" s="20">
        <v>0</v>
      </c>
    </row>
    <row r="89" spans="1:32">
      <c r="A89" s="20" t="s">
        <v>9</v>
      </c>
      <c r="B89" s="20" t="s">
        <v>9</v>
      </c>
      <c r="C89" s="20" t="s">
        <v>9</v>
      </c>
      <c r="D89" s="20" t="s">
        <v>8</v>
      </c>
      <c r="E89" s="20">
        <v>439.5</v>
      </c>
      <c r="F89" s="20">
        <v>59.374200000000002</v>
      </c>
      <c r="G89" s="20">
        <v>0.75475000000000003</v>
      </c>
      <c r="H89" s="20">
        <v>0.67720000000000002</v>
      </c>
      <c r="Y89" s="20" t="s">
        <v>9</v>
      </c>
      <c r="Z89" s="20" t="s">
        <v>9</v>
      </c>
      <c r="AA89" s="20" t="s">
        <v>9</v>
      </c>
      <c r="AB89" s="20" t="s">
        <v>9</v>
      </c>
      <c r="AC89" s="20">
        <v>2080.1</v>
      </c>
      <c r="AD89" s="20">
        <v>534.072</v>
      </c>
      <c r="AE89" s="20">
        <v>0.75588</v>
      </c>
      <c r="AF89" s="20">
        <v>0</v>
      </c>
    </row>
    <row r="90" spans="1:32">
      <c r="A90" s="20" t="s">
        <v>10</v>
      </c>
      <c r="B90" s="20" t="s">
        <v>9</v>
      </c>
      <c r="C90" s="20" t="s">
        <v>9</v>
      </c>
      <c r="D90" s="20" t="s">
        <v>8</v>
      </c>
      <c r="E90" s="20">
        <v>361.3</v>
      </c>
      <c r="F90" s="20">
        <v>49.1524</v>
      </c>
      <c r="G90" s="20">
        <v>0.75568000000000002</v>
      </c>
      <c r="H90" s="20">
        <v>0.68010000000000004</v>
      </c>
      <c r="Y90" s="20" t="s">
        <v>10</v>
      </c>
      <c r="Z90" s="20" t="s">
        <v>9</v>
      </c>
      <c r="AA90" s="20" t="s">
        <v>9</v>
      </c>
      <c r="AB90" s="20" t="s">
        <v>9</v>
      </c>
      <c r="AC90" s="20">
        <v>2080.1</v>
      </c>
      <c r="AD90" s="20">
        <v>694.50800000000004</v>
      </c>
      <c r="AE90" s="20">
        <v>0.75849999999999995</v>
      </c>
      <c r="AF90" s="20">
        <v>0</v>
      </c>
    </row>
    <row r="91" spans="1:32">
      <c r="A91" s="20" t="s">
        <v>11</v>
      </c>
      <c r="B91" s="20" t="s">
        <v>9</v>
      </c>
      <c r="C91" s="20" t="s">
        <v>9</v>
      </c>
      <c r="D91" s="20" t="s">
        <v>8</v>
      </c>
      <c r="E91" s="20">
        <v>309.2</v>
      </c>
      <c r="F91" s="20">
        <v>44.606299999999997</v>
      </c>
      <c r="G91" s="20">
        <v>0.75505</v>
      </c>
      <c r="H91" s="20">
        <v>0.67810000000000004</v>
      </c>
      <c r="Y91" s="20" t="s">
        <v>11</v>
      </c>
      <c r="Z91" s="20" t="s">
        <v>9</v>
      </c>
      <c r="AA91" s="20" t="s">
        <v>9</v>
      </c>
      <c r="AB91" s="20" t="s">
        <v>9</v>
      </c>
      <c r="AC91" s="20">
        <v>2080.1</v>
      </c>
      <c r="AD91" s="20">
        <v>637.56200000000001</v>
      </c>
      <c r="AE91" s="20">
        <v>0.76088</v>
      </c>
      <c r="AF91" s="20">
        <v>0</v>
      </c>
    </row>
    <row r="92" spans="1:32">
      <c r="A92" s="20" t="s">
        <v>12</v>
      </c>
      <c r="B92" s="20" t="s">
        <v>9</v>
      </c>
      <c r="C92" s="20" t="s">
        <v>9</v>
      </c>
      <c r="D92" s="20" t="s">
        <v>8</v>
      </c>
      <c r="E92" s="20">
        <v>306</v>
      </c>
      <c r="F92" s="20">
        <v>42.552500000000002</v>
      </c>
      <c r="G92" s="20">
        <v>0.75822999999999996</v>
      </c>
      <c r="H92" s="20">
        <v>0.67620000000000002</v>
      </c>
      <c r="Y92" s="20" t="s">
        <v>12</v>
      </c>
      <c r="Z92" s="20" t="s">
        <v>9</v>
      </c>
      <c r="AA92" s="20" t="s">
        <v>9</v>
      </c>
      <c r="AB92" s="20" t="s">
        <v>9</v>
      </c>
      <c r="AC92" s="20">
        <v>2024.8</v>
      </c>
      <c r="AD92" s="20">
        <v>504.97699999999998</v>
      </c>
      <c r="AE92" s="20">
        <v>0.75451999999999997</v>
      </c>
      <c r="AF92" s="20">
        <v>0</v>
      </c>
    </row>
    <row r="93" spans="1:32">
      <c r="A93" s="20" t="s">
        <v>13</v>
      </c>
      <c r="B93" s="20" t="s">
        <v>9</v>
      </c>
      <c r="C93" s="20" t="s">
        <v>9</v>
      </c>
      <c r="D93" s="20" t="s">
        <v>8</v>
      </c>
      <c r="E93" s="20">
        <v>289.7</v>
      </c>
      <c r="F93" s="20">
        <v>41.185000000000002</v>
      </c>
      <c r="G93" s="20">
        <v>0.75822999999999996</v>
      </c>
      <c r="H93" s="20">
        <v>0.67520000000000002</v>
      </c>
      <c r="Y93" s="20" t="s">
        <v>13</v>
      </c>
      <c r="Z93" s="20" t="s">
        <v>9</v>
      </c>
      <c r="AA93" s="20" t="s">
        <v>9</v>
      </c>
      <c r="AB93" s="20" t="s">
        <v>9</v>
      </c>
      <c r="AC93" s="20">
        <v>1702.5</v>
      </c>
      <c r="AD93" s="20">
        <v>412.78399999999999</v>
      </c>
      <c r="AE93" s="20">
        <v>0.75946000000000002</v>
      </c>
      <c r="AF93" s="20">
        <v>0.11600000000000001</v>
      </c>
    </row>
    <row r="94" spans="1:32">
      <c r="A94" s="20" t="s">
        <v>14</v>
      </c>
      <c r="B94" s="20" t="s">
        <v>9</v>
      </c>
      <c r="C94" s="20" t="s">
        <v>9</v>
      </c>
      <c r="D94" s="20" t="s">
        <v>8</v>
      </c>
      <c r="E94" s="20">
        <v>299.5</v>
      </c>
      <c r="F94" s="20">
        <v>40.928199999999997</v>
      </c>
      <c r="G94" s="20">
        <v>0.75812999999999997</v>
      </c>
      <c r="H94" s="20">
        <v>0.67720000000000002</v>
      </c>
      <c r="Y94" s="20" t="s">
        <v>14</v>
      </c>
      <c r="Z94" s="20" t="s">
        <v>9</v>
      </c>
      <c r="AA94" s="20" t="s">
        <v>9</v>
      </c>
      <c r="AB94" s="20" t="s">
        <v>9</v>
      </c>
      <c r="AC94" s="20">
        <v>1516.9</v>
      </c>
      <c r="AD94" s="20">
        <v>350.322</v>
      </c>
      <c r="AE94" s="20">
        <v>0.75697000000000003</v>
      </c>
      <c r="AF94" s="20">
        <v>0.27129999999999999</v>
      </c>
    </row>
    <row r="95" spans="1:32">
      <c r="A95" s="20" t="s">
        <v>15</v>
      </c>
      <c r="B95" s="20" t="s">
        <v>9</v>
      </c>
      <c r="C95" s="20" t="s">
        <v>9</v>
      </c>
      <c r="D95" s="20" t="s">
        <v>8</v>
      </c>
      <c r="E95" s="20">
        <v>280</v>
      </c>
      <c r="F95" s="20">
        <v>40.336399999999998</v>
      </c>
      <c r="G95" s="20">
        <v>0.75471999999999995</v>
      </c>
      <c r="H95" s="20">
        <v>0.67320000000000002</v>
      </c>
      <c r="Y95" s="20" t="s">
        <v>15</v>
      </c>
      <c r="Z95" s="20" t="s">
        <v>9</v>
      </c>
      <c r="AA95" s="20" t="s">
        <v>9</v>
      </c>
      <c r="AB95" s="20" t="s">
        <v>9</v>
      </c>
      <c r="AC95" s="20">
        <v>1321.6</v>
      </c>
      <c r="AD95" s="20">
        <v>306.07799999999997</v>
      </c>
      <c r="AE95" s="20">
        <v>0.76197999999999999</v>
      </c>
      <c r="AF95" s="20">
        <v>0.49340000000000001</v>
      </c>
    </row>
    <row r="96" spans="1:32">
      <c r="A96" s="20" t="s">
        <v>8</v>
      </c>
      <c r="B96" s="20" t="s">
        <v>10</v>
      </c>
      <c r="C96" s="20" t="s">
        <v>9</v>
      </c>
      <c r="D96" s="20" t="s">
        <v>8</v>
      </c>
      <c r="E96" s="20">
        <v>530.6</v>
      </c>
      <c r="F96" s="20">
        <v>86.118099999999998</v>
      </c>
      <c r="G96" s="20">
        <v>0.75929000000000002</v>
      </c>
      <c r="H96" s="20">
        <v>0.67520000000000002</v>
      </c>
      <c r="Y96" s="20" t="s">
        <v>8</v>
      </c>
      <c r="Z96" s="20" t="s">
        <v>10</v>
      </c>
      <c r="AA96" s="20" t="s">
        <v>9</v>
      </c>
      <c r="AB96" s="20" t="s">
        <v>9</v>
      </c>
      <c r="AC96" s="20">
        <v>2080.1</v>
      </c>
      <c r="AD96" s="20">
        <v>607.19399999999996</v>
      </c>
      <c r="AE96" s="20">
        <v>0.75856000000000001</v>
      </c>
      <c r="AF96" s="20">
        <v>0</v>
      </c>
    </row>
    <row r="97" spans="1:32">
      <c r="A97" s="20" t="s">
        <v>9</v>
      </c>
      <c r="B97" s="20" t="s">
        <v>10</v>
      </c>
      <c r="C97" s="20" t="s">
        <v>9</v>
      </c>
      <c r="D97" s="20" t="s">
        <v>8</v>
      </c>
      <c r="E97" s="20">
        <v>397.1</v>
      </c>
      <c r="F97" s="20">
        <v>55.488</v>
      </c>
      <c r="G97" s="20">
        <v>0.75661</v>
      </c>
      <c r="H97" s="20">
        <v>0.67320000000000002</v>
      </c>
      <c r="Y97" s="20" t="s">
        <v>9</v>
      </c>
      <c r="Z97" s="20" t="s">
        <v>10</v>
      </c>
      <c r="AA97" s="20" t="s">
        <v>9</v>
      </c>
      <c r="AB97" s="20" t="s">
        <v>9</v>
      </c>
      <c r="AC97" s="20">
        <v>2080.1</v>
      </c>
      <c r="AD97" s="20">
        <v>632.65200000000004</v>
      </c>
      <c r="AE97" s="20">
        <v>0.75760000000000005</v>
      </c>
      <c r="AF97" s="20">
        <v>0</v>
      </c>
    </row>
    <row r="98" spans="1:32">
      <c r="A98" s="20" t="s">
        <v>10</v>
      </c>
      <c r="B98" s="20" t="s">
        <v>10</v>
      </c>
      <c r="C98" s="20" t="s">
        <v>9</v>
      </c>
      <c r="D98" s="20" t="s">
        <v>8</v>
      </c>
      <c r="E98" s="20">
        <v>348.3</v>
      </c>
      <c r="F98" s="20">
        <v>47.329500000000003</v>
      </c>
      <c r="G98" s="20">
        <v>0.75631000000000004</v>
      </c>
      <c r="H98" s="20">
        <v>0.67720000000000002</v>
      </c>
      <c r="Y98" s="20" t="s">
        <v>10</v>
      </c>
      <c r="Z98" s="20" t="s">
        <v>10</v>
      </c>
      <c r="AA98" s="20" t="s">
        <v>9</v>
      </c>
      <c r="AB98" s="20" t="s">
        <v>9</v>
      </c>
      <c r="AC98" s="20">
        <v>2080.1</v>
      </c>
      <c r="AD98" s="20">
        <v>698.125</v>
      </c>
      <c r="AE98" s="20">
        <v>0.75588</v>
      </c>
      <c r="AF98" s="20">
        <v>0</v>
      </c>
    </row>
    <row r="99" spans="1:32">
      <c r="A99" s="20" t="s">
        <v>11</v>
      </c>
      <c r="B99" s="20" t="s">
        <v>10</v>
      </c>
      <c r="C99" s="20" t="s">
        <v>9</v>
      </c>
      <c r="D99" s="20" t="s">
        <v>8</v>
      </c>
      <c r="E99" s="20">
        <v>315.8</v>
      </c>
      <c r="F99" s="20">
        <v>44.326999999999998</v>
      </c>
      <c r="G99" s="20">
        <v>0.75641000000000003</v>
      </c>
      <c r="H99" s="20">
        <v>0.67720000000000002</v>
      </c>
      <c r="Y99" s="20" t="s">
        <v>11</v>
      </c>
      <c r="Z99" s="20" t="s">
        <v>10</v>
      </c>
      <c r="AA99" s="20" t="s">
        <v>9</v>
      </c>
      <c r="AB99" s="20" t="s">
        <v>9</v>
      </c>
      <c r="AC99" s="20">
        <v>2073.6</v>
      </c>
      <c r="AD99" s="20">
        <v>532.91499999999996</v>
      </c>
      <c r="AE99" s="20">
        <v>0.75826000000000005</v>
      </c>
      <c r="AF99" s="20">
        <v>0</v>
      </c>
    </row>
    <row r="100" spans="1:32">
      <c r="A100" s="20" t="s">
        <v>12</v>
      </c>
      <c r="B100" s="20" t="s">
        <v>10</v>
      </c>
      <c r="C100" s="20" t="s">
        <v>9</v>
      </c>
      <c r="D100" s="20" t="s">
        <v>8</v>
      </c>
      <c r="E100" s="20">
        <v>299.5</v>
      </c>
      <c r="F100" s="20">
        <v>41.975999999999999</v>
      </c>
      <c r="G100" s="20">
        <v>0.75792999999999999</v>
      </c>
      <c r="H100" s="20">
        <v>0.67420000000000002</v>
      </c>
      <c r="Y100" s="20" t="s">
        <v>12</v>
      </c>
      <c r="Z100" s="20" t="s">
        <v>10</v>
      </c>
      <c r="AA100" s="20" t="s">
        <v>9</v>
      </c>
      <c r="AB100" s="20" t="s">
        <v>9</v>
      </c>
      <c r="AC100" s="20">
        <v>1725.3</v>
      </c>
      <c r="AD100" s="20">
        <v>416.42500000000001</v>
      </c>
      <c r="AE100" s="20">
        <v>0.75607999999999997</v>
      </c>
      <c r="AF100" s="20">
        <v>0.2329</v>
      </c>
    </row>
    <row r="101" spans="1:32">
      <c r="A101" s="20" t="s">
        <v>13</v>
      </c>
      <c r="B101" s="20" t="s">
        <v>10</v>
      </c>
      <c r="C101" s="20" t="s">
        <v>9</v>
      </c>
      <c r="D101" s="20" t="s">
        <v>8</v>
      </c>
      <c r="E101" s="20">
        <v>299.5</v>
      </c>
      <c r="F101" s="20">
        <v>40.805399999999999</v>
      </c>
      <c r="G101" s="20">
        <v>0.75604000000000005</v>
      </c>
      <c r="H101" s="20">
        <v>0.67520000000000002</v>
      </c>
      <c r="Y101" s="20" t="s">
        <v>13</v>
      </c>
      <c r="Z101" s="20" t="s">
        <v>10</v>
      </c>
      <c r="AA101" s="20" t="s">
        <v>9</v>
      </c>
      <c r="AB101" s="20" t="s">
        <v>9</v>
      </c>
      <c r="AC101" s="20">
        <v>1474.6</v>
      </c>
      <c r="AD101" s="20">
        <v>344.63400000000001</v>
      </c>
      <c r="AE101" s="20">
        <v>0.75763000000000003</v>
      </c>
      <c r="AF101" s="20">
        <v>0.38429999999999997</v>
      </c>
    </row>
    <row r="102" spans="1:32">
      <c r="A102" s="20" t="s">
        <v>14</v>
      </c>
      <c r="B102" s="20" t="s">
        <v>10</v>
      </c>
      <c r="C102" s="20" t="s">
        <v>9</v>
      </c>
      <c r="D102" s="20" t="s">
        <v>8</v>
      </c>
      <c r="E102" s="20">
        <v>296.2</v>
      </c>
      <c r="F102" s="20">
        <v>40.435099999999998</v>
      </c>
      <c r="G102" s="20">
        <v>0.76134999999999997</v>
      </c>
      <c r="H102" s="20">
        <v>0.67720000000000002</v>
      </c>
      <c r="Y102" s="20" t="s">
        <v>14</v>
      </c>
      <c r="Z102" s="20" t="s">
        <v>10</v>
      </c>
      <c r="AA102" s="20" t="s">
        <v>9</v>
      </c>
      <c r="AB102" s="20" t="s">
        <v>9</v>
      </c>
      <c r="AC102" s="20">
        <v>1377</v>
      </c>
      <c r="AD102" s="20">
        <v>293.13799999999998</v>
      </c>
      <c r="AE102" s="20">
        <v>0.75790000000000002</v>
      </c>
      <c r="AF102" s="20">
        <v>0.4698</v>
      </c>
    </row>
    <row r="103" spans="1:32">
      <c r="A103" s="20" t="s">
        <v>15</v>
      </c>
      <c r="B103" s="20" t="s">
        <v>10</v>
      </c>
      <c r="C103" s="20" t="s">
        <v>9</v>
      </c>
      <c r="D103" s="20" t="s">
        <v>8</v>
      </c>
      <c r="E103" s="20">
        <v>280</v>
      </c>
      <c r="F103" s="20">
        <v>40.059399999999997</v>
      </c>
      <c r="G103" s="20">
        <v>0.75590999999999997</v>
      </c>
      <c r="H103" s="20">
        <v>0.67810000000000004</v>
      </c>
      <c r="Y103" s="20" t="s">
        <v>15</v>
      </c>
      <c r="Z103" s="20" t="s">
        <v>10</v>
      </c>
      <c r="AA103" s="20" t="s">
        <v>9</v>
      </c>
      <c r="AB103" s="20" t="s">
        <v>9</v>
      </c>
      <c r="AC103" s="20">
        <v>1162.0999999999999</v>
      </c>
      <c r="AD103" s="20">
        <v>258.06099999999998</v>
      </c>
      <c r="AE103" s="20">
        <v>0.75812999999999997</v>
      </c>
      <c r="AF103" s="20">
        <v>0.52969999999999995</v>
      </c>
    </row>
    <row r="104" spans="1:32">
      <c r="A104" s="20" t="s">
        <v>8</v>
      </c>
      <c r="B104" s="20" t="s">
        <v>11</v>
      </c>
      <c r="C104" s="20" t="s">
        <v>9</v>
      </c>
      <c r="D104" s="20" t="s">
        <v>8</v>
      </c>
      <c r="E104" s="20">
        <v>507.8</v>
      </c>
      <c r="F104" s="20">
        <v>77.302300000000002</v>
      </c>
      <c r="G104" s="20">
        <v>0.75846000000000002</v>
      </c>
      <c r="H104" s="20">
        <v>0.67320000000000002</v>
      </c>
      <c r="Y104" s="20" t="s">
        <v>8</v>
      </c>
      <c r="Z104" s="20" t="s">
        <v>11</v>
      </c>
      <c r="AA104" s="20" t="s">
        <v>9</v>
      </c>
      <c r="AB104" s="20" t="s">
        <v>9</v>
      </c>
      <c r="AC104" s="20">
        <v>2080.1</v>
      </c>
      <c r="AD104" s="20">
        <v>626.45799999999997</v>
      </c>
      <c r="AE104" s="20">
        <v>0.75873000000000002</v>
      </c>
      <c r="AF104" s="20">
        <v>0</v>
      </c>
    </row>
    <row r="105" spans="1:32">
      <c r="A105" s="20" t="s">
        <v>9</v>
      </c>
      <c r="B105" s="20" t="s">
        <v>11</v>
      </c>
      <c r="C105" s="20" t="s">
        <v>9</v>
      </c>
      <c r="D105" s="20" t="s">
        <v>8</v>
      </c>
      <c r="E105" s="20">
        <v>374.4</v>
      </c>
      <c r="F105" s="20">
        <v>52.207799999999999</v>
      </c>
      <c r="G105" s="20">
        <v>0.75746999999999998</v>
      </c>
      <c r="H105" s="20">
        <v>0.67720000000000002</v>
      </c>
      <c r="Y105" s="20" t="s">
        <v>9</v>
      </c>
      <c r="Z105" s="20" t="s">
        <v>11</v>
      </c>
      <c r="AA105" s="20" t="s">
        <v>9</v>
      </c>
      <c r="AB105" s="20" t="s">
        <v>9</v>
      </c>
      <c r="AC105" s="20">
        <v>2080.1</v>
      </c>
      <c r="AD105" s="20">
        <v>680.57799999999997</v>
      </c>
      <c r="AE105" s="20">
        <v>0.75858999999999999</v>
      </c>
      <c r="AF105" s="20">
        <v>0</v>
      </c>
    </row>
    <row r="106" spans="1:32">
      <c r="A106" s="20" t="s">
        <v>10</v>
      </c>
      <c r="B106" s="20" t="s">
        <v>11</v>
      </c>
      <c r="C106" s="20" t="s">
        <v>9</v>
      </c>
      <c r="D106" s="20" t="s">
        <v>8</v>
      </c>
      <c r="E106" s="20">
        <v>345.1</v>
      </c>
      <c r="F106" s="20">
        <v>46.863199999999999</v>
      </c>
      <c r="G106" s="20">
        <v>0.76251000000000002</v>
      </c>
      <c r="H106" s="20">
        <v>0.67910000000000004</v>
      </c>
      <c r="Y106" s="20" t="s">
        <v>10</v>
      </c>
      <c r="Z106" s="20" t="s">
        <v>11</v>
      </c>
      <c r="AA106" s="20" t="s">
        <v>9</v>
      </c>
      <c r="AB106" s="20" t="s">
        <v>9</v>
      </c>
      <c r="AC106" s="20">
        <v>2080.1</v>
      </c>
      <c r="AD106" s="20">
        <v>609.80499999999995</v>
      </c>
      <c r="AE106" s="20">
        <v>0.75631000000000004</v>
      </c>
      <c r="AF106" s="20">
        <v>0</v>
      </c>
    </row>
    <row r="107" spans="1:32">
      <c r="A107" s="20" t="s">
        <v>11</v>
      </c>
      <c r="B107" s="20" t="s">
        <v>11</v>
      </c>
      <c r="C107" s="20" t="s">
        <v>9</v>
      </c>
      <c r="D107" s="20" t="s">
        <v>8</v>
      </c>
      <c r="E107" s="20">
        <v>312.5</v>
      </c>
      <c r="F107" s="20">
        <v>43.359299999999998</v>
      </c>
      <c r="G107" s="20">
        <v>0.75863000000000003</v>
      </c>
      <c r="H107" s="20">
        <v>0.67720000000000002</v>
      </c>
      <c r="Y107" s="20" t="s">
        <v>11</v>
      </c>
      <c r="Z107" s="20" t="s">
        <v>11</v>
      </c>
      <c r="AA107" s="20" t="s">
        <v>9</v>
      </c>
      <c r="AB107" s="20" t="s">
        <v>9</v>
      </c>
      <c r="AC107" s="20">
        <v>1949.9</v>
      </c>
      <c r="AD107" s="20">
        <v>456.92099999999999</v>
      </c>
      <c r="AE107" s="20">
        <v>0.75922000000000001</v>
      </c>
      <c r="AF107" s="20">
        <v>0</v>
      </c>
    </row>
    <row r="108" spans="1:32">
      <c r="A108" s="20" t="s">
        <v>12</v>
      </c>
      <c r="B108" s="20" t="s">
        <v>11</v>
      </c>
      <c r="C108" s="20" t="s">
        <v>9</v>
      </c>
      <c r="D108" s="20" t="s">
        <v>8</v>
      </c>
      <c r="E108" s="20">
        <v>299.5</v>
      </c>
      <c r="F108" s="20">
        <v>41.700600000000001</v>
      </c>
      <c r="G108" s="20">
        <v>0.75448999999999999</v>
      </c>
      <c r="H108" s="20">
        <v>0.67720000000000002</v>
      </c>
      <c r="Y108" s="20" t="s">
        <v>12</v>
      </c>
      <c r="Z108" s="20" t="s">
        <v>11</v>
      </c>
      <c r="AA108" s="20" t="s">
        <v>9</v>
      </c>
      <c r="AB108" s="20" t="s">
        <v>9</v>
      </c>
      <c r="AC108" s="20">
        <v>1702.5</v>
      </c>
      <c r="AD108" s="20">
        <v>360.07499999999999</v>
      </c>
      <c r="AE108" s="20">
        <v>0.75565000000000004</v>
      </c>
      <c r="AF108" s="20">
        <v>0.2732</v>
      </c>
    </row>
    <row r="109" spans="1:32">
      <c r="A109" s="20" t="s">
        <v>13</v>
      </c>
      <c r="B109" s="20" t="s">
        <v>11</v>
      </c>
      <c r="C109" s="20" t="s">
        <v>9</v>
      </c>
      <c r="D109" s="20" t="s">
        <v>8</v>
      </c>
      <c r="E109" s="20">
        <v>299.5</v>
      </c>
      <c r="F109" s="20">
        <v>41.222799999999999</v>
      </c>
      <c r="G109" s="20">
        <v>0.75482000000000005</v>
      </c>
      <c r="H109" s="20">
        <v>0.67810000000000004</v>
      </c>
      <c r="Y109" s="20" t="s">
        <v>13</v>
      </c>
      <c r="Z109" s="20" t="s">
        <v>11</v>
      </c>
      <c r="AA109" s="20" t="s">
        <v>9</v>
      </c>
      <c r="AB109" s="20" t="s">
        <v>9</v>
      </c>
      <c r="AC109" s="20">
        <v>1438.8</v>
      </c>
      <c r="AD109" s="20">
        <v>302.75299999999999</v>
      </c>
      <c r="AE109" s="20">
        <v>0.75683999999999996</v>
      </c>
      <c r="AF109" s="20">
        <v>0.4138</v>
      </c>
    </row>
    <row r="110" spans="1:32">
      <c r="A110" s="20" t="s">
        <v>14</v>
      </c>
      <c r="B110" s="20" t="s">
        <v>11</v>
      </c>
      <c r="C110" s="20" t="s">
        <v>9</v>
      </c>
      <c r="D110" s="20" t="s">
        <v>8</v>
      </c>
      <c r="E110" s="20">
        <v>299.5</v>
      </c>
      <c r="F110" s="20">
        <v>40.564300000000003</v>
      </c>
      <c r="G110" s="20">
        <v>0.75590999999999997</v>
      </c>
      <c r="H110" s="20">
        <v>0.67320000000000002</v>
      </c>
      <c r="Y110" s="20" t="s">
        <v>14</v>
      </c>
      <c r="Z110" s="20" t="s">
        <v>11</v>
      </c>
      <c r="AA110" s="20" t="s">
        <v>9</v>
      </c>
      <c r="AB110" s="20" t="s">
        <v>9</v>
      </c>
      <c r="AC110" s="20">
        <v>1263</v>
      </c>
      <c r="AD110" s="20">
        <v>253.58099999999999</v>
      </c>
      <c r="AE110" s="20">
        <v>0.75295999999999996</v>
      </c>
      <c r="AF110" s="20">
        <v>0.5101</v>
      </c>
    </row>
    <row r="111" spans="1:32">
      <c r="A111" s="20" t="s">
        <v>15</v>
      </c>
      <c r="B111" s="20" t="s">
        <v>11</v>
      </c>
      <c r="C111" s="20" t="s">
        <v>9</v>
      </c>
      <c r="D111" s="20" t="s">
        <v>8</v>
      </c>
      <c r="E111" s="20">
        <v>283.2</v>
      </c>
      <c r="F111" s="20">
        <v>39.947800000000001</v>
      </c>
      <c r="G111" s="20">
        <v>0.75724000000000002</v>
      </c>
      <c r="H111" s="20">
        <v>0.67620000000000002</v>
      </c>
      <c r="Y111" s="20" t="s">
        <v>15</v>
      </c>
      <c r="Z111" s="20" t="s">
        <v>11</v>
      </c>
      <c r="AA111" s="20" t="s">
        <v>9</v>
      </c>
      <c r="AB111" s="20" t="s">
        <v>9</v>
      </c>
      <c r="AC111" s="20">
        <v>1035.2</v>
      </c>
      <c r="AD111" s="20">
        <v>227.91499999999999</v>
      </c>
      <c r="AE111" s="20">
        <v>0.76054999999999995</v>
      </c>
      <c r="AF111" s="20">
        <v>0.55430000000000001</v>
      </c>
    </row>
    <row r="112" spans="1:32">
      <c r="A112" s="20" t="s">
        <v>8</v>
      </c>
      <c r="B112" s="20" t="s">
        <v>12</v>
      </c>
      <c r="C112" s="20" t="s">
        <v>9</v>
      </c>
      <c r="D112" s="20" t="s">
        <v>8</v>
      </c>
      <c r="E112" s="20">
        <v>491.5</v>
      </c>
      <c r="F112" s="20">
        <v>73.5518</v>
      </c>
      <c r="G112" s="20">
        <v>0.76117999999999997</v>
      </c>
      <c r="H112" s="20">
        <v>0.67520000000000002</v>
      </c>
      <c r="Y112" s="20" t="s">
        <v>8</v>
      </c>
      <c r="Z112" s="20" t="s">
        <v>12</v>
      </c>
      <c r="AA112" s="20" t="s">
        <v>9</v>
      </c>
      <c r="AB112" s="20" t="s">
        <v>9</v>
      </c>
      <c r="AC112" s="20">
        <v>2080.1</v>
      </c>
      <c r="AD112" s="20">
        <v>566.48500000000001</v>
      </c>
      <c r="AE112" s="20">
        <v>0.75614000000000003</v>
      </c>
      <c r="AF112" s="20">
        <v>0</v>
      </c>
    </row>
    <row r="113" spans="1:32">
      <c r="A113" s="20" t="s">
        <v>9</v>
      </c>
      <c r="B113" s="20" t="s">
        <v>12</v>
      </c>
      <c r="C113" s="20" t="s">
        <v>9</v>
      </c>
      <c r="D113" s="20" t="s">
        <v>8</v>
      </c>
      <c r="E113" s="20">
        <v>364.6</v>
      </c>
      <c r="F113" s="20">
        <v>50.960799999999999</v>
      </c>
      <c r="G113" s="20">
        <v>0.75899000000000005</v>
      </c>
      <c r="H113" s="20">
        <v>0.67810000000000004</v>
      </c>
      <c r="Y113" s="20" t="s">
        <v>9</v>
      </c>
      <c r="Z113" s="20" t="s">
        <v>12</v>
      </c>
      <c r="AA113" s="20" t="s">
        <v>9</v>
      </c>
      <c r="AB113" s="20" t="s">
        <v>9</v>
      </c>
      <c r="AC113" s="20">
        <v>2080.1</v>
      </c>
      <c r="AD113" s="20">
        <v>688.98400000000004</v>
      </c>
      <c r="AE113" s="20">
        <v>0.76161000000000001</v>
      </c>
      <c r="AF113" s="20">
        <v>0</v>
      </c>
    </row>
    <row r="114" spans="1:32">
      <c r="A114" s="20" t="s">
        <v>10</v>
      </c>
      <c r="B114" s="20" t="s">
        <v>12</v>
      </c>
      <c r="C114" s="20" t="s">
        <v>9</v>
      </c>
      <c r="D114" s="20" t="s">
        <v>8</v>
      </c>
      <c r="E114" s="20">
        <v>354.8</v>
      </c>
      <c r="F114" s="20">
        <v>46.04</v>
      </c>
      <c r="G114" s="20">
        <v>0.75839999999999996</v>
      </c>
      <c r="H114" s="20">
        <v>0.67520000000000002</v>
      </c>
      <c r="Y114" s="20" t="s">
        <v>10</v>
      </c>
      <c r="Z114" s="20" t="s">
        <v>12</v>
      </c>
      <c r="AA114" s="20" t="s">
        <v>9</v>
      </c>
      <c r="AB114" s="20" t="s">
        <v>9</v>
      </c>
      <c r="AC114" s="20">
        <v>2080.1</v>
      </c>
      <c r="AD114" s="20">
        <v>568.20299999999997</v>
      </c>
      <c r="AE114" s="20">
        <v>0.75780000000000003</v>
      </c>
      <c r="AF114" s="20">
        <v>0</v>
      </c>
    </row>
    <row r="115" spans="1:32">
      <c r="A115" s="20" t="s">
        <v>11</v>
      </c>
      <c r="B115" s="20" t="s">
        <v>12</v>
      </c>
      <c r="C115" s="20" t="s">
        <v>9</v>
      </c>
      <c r="D115" s="20" t="s">
        <v>8</v>
      </c>
      <c r="E115" s="20">
        <v>309.2</v>
      </c>
      <c r="F115" s="20">
        <v>43.3446</v>
      </c>
      <c r="G115" s="20">
        <v>0.76032</v>
      </c>
      <c r="H115" s="20">
        <v>0.67620000000000002</v>
      </c>
      <c r="Y115" s="20" t="s">
        <v>11</v>
      </c>
      <c r="Z115" s="20" t="s">
        <v>12</v>
      </c>
      <c r="AA115" s="20" t="s">
        <v>9</v>
      </c>
      <c r="AB115" s="20" t="s">
        <v>9</v>
      </c>
      <c r="AC115" s="20">
        <v>1777.4</v>
      </c>
      <c r="AD115" s="20">
        <v>430.34699999999998</v>
      </c>
      <c r="AE115" s="20">
        <v>0.75931999999999999</v>
      </c>
      <c r="AF115" s="20">
        <v>0</v>
      </c>
    </row>
    <row r="116" spans="1:32">
      <c r="A116" s="20" t="s">
        <v>12</v>
      </c>
      <c r="B116" s="20" t="s">
        <v>12</v>
      </c>
      <c r="C116" s="20" t="s">
        <v>9</v>
      </c>
      <c r="D116" s="20" t="s">
        <v>8</v>
      </c>
      <c r="E116" s="20">
        <v>309.2</v>
      </c>
      <c r="F116" s="20">
        <v>41.864800000000002</v>
      </c>
      <c r="G116" s="20">
        <v>0.75707000000000002</v>
      </c>
      <c r="H116" s="20">
        <v>0.67720000000000002</v>
      </c>
      <c r="Y116" s="20" t="s">
        <v>12</v>
      </c>
      <c r="Z116" s="20" t="s">
        <v>12</v>
      </c>
      <c r="AA116" s="20" t="s">
        <v>9</v>
      </c>
      <c r="AB116" s="20" t="s">
        <v>9</v>
      </c>
      <c r="AC116" s="20">
        <v>1533.2</v>
      </c>
      <c r="AD116" s="20">
        <v>330.24</v>
      </c>
      <c r="AE116" s="20">
        <v>0.75570999999999999</v>
      </c>
      <c r="AF116" s="20">
        <v>0.33610000000000001</v>
      </c>
    </row>
    <row r="117" spans="1:32">
      <c r="A117" s="20" t="s">
        <v>13</v>
      </c>
      <c r="B117" s="20" t="s">
        <v>12</v>
      </c>
      <c r="C117" s="20" t="s">
        <v>9</v>
      </c>
      <c r="D117" s="20" t="s">
        <v>8</v>
      </c>
      <c r="E117" s="20">
        <v>299.5</v>
      </c>
      <c r="F117" s="20">
        <v>41.090499999999999</v>
      </c>
      <c r="G117" s="20">
        <v>0.75749999999999995</v>
      </c>
      <c r="H117" s="20">
        <v>0.67520000000000002</v>
      </c>
      <c r="Y117" s="20" t="s">
        <v>13</v>
      </c>
      <c r="Z117" s="20" t="s">
        <v>12</v>
      </c>
      <c r="AA117" s="20" t="s">
        <v>9</v>
      </c>
      <c r="AB117" s="20" t="s">
        <v>9</v>
      </c>
      <c r="AC117" s="20">
        <v>1357.4</v>
      </c>
      <c r="AD117" s="20">
        <v>275.89100000000002</v>
      </c>
      <c r="AE117" s="20">
        <v>0.75683999999999996</v>
      </c>
      <c r="AF117" s="20">
        <v>0.46879999999999999</v>
      </c>
    </row>
    <row r="118" spans="1:32">
      <c r="A118" s="20" t="s">
        <v>14</v>
      </c>
      <c r="B118" s="20" t="s">
        <v>12</v>
      </c>
      <c r="C118" s="20" t="s">
        <v>9</v>
      </c>
      <c r="D118" s="20" t="s">
        <v>8</v>
      </c>
      <c r="E118" s="20">
        <v>286.5</v>
      </c>
      <c r="F118" s="20">
        <v>40.854100000000003</v>
      </c>
      <c r="G118" s="20">
        <v>0.75875999999999999</v>
      </c>
      <c r="H118" s="20">
        <v>0.67520000000000002</v>
      </c>
      <c r="Y118" s="20" t="s">
        <v>14</v>
      </c>
      <c r="Z118" s="20" t="s">
        <v>12</v>
      </c>
      <c r="AA118" s="20" t="s">
        <v>9</v>
      </c>
      <c r="AB118" s="20" t="s">
        <v>9</v>
      </c>
      <c r="AC118" s="20">
        <v>1220.7</v>
      </c>
      <c r="AD118" s="20">
        <v>240.59399999999999</v>
      </c>
      <c r="AE118" s="20">
        <v>0.75836000000000003</v>
      </c>
      <c r="AF118" s="20">
        <v>0.53069999999999995</v>
      </c>
    </row>
    <row r="119" spans="1:32">
      <c r="A119" s="20" t="s">
        <v>15</v>
      </c>
      <c r="B119" s="20" t="s">
        <v>12</v>
      </c>
      <c r="C119" s="20" t="s">
        <v>9</v>
      </c>
      <c r="D119" s="20" t="s">
        <v>8</v>
      </c>
      <c r="E119" s="20">
        <v>289.7</v>
      </c>
      <c r="F119" s="20">
        <v>40.157600000000002</v>
      </c>
      <c r="G119" s="20">
        <v>0.75888999999999995</v>
      </c>
      <c r="H119" s="20">
        <v>0.67520000000000002</v>
      </c>
      <c r="Y119" s="20" t="s">
        <v>15</v>
      </c>
      <c r="Z119" s="20" t="s">
        <v>12</v>
      </c>
      <c r="AA119" s="20" t="s">
        <v>9</v>
      </c>
      <c r="AB119" s="20" t="s">
        <v>9</v>
      </c>
      <c r="AC119" s="20">
        <v>1048.2</v>
      </c>
      <c r="AD119" s="20">
        <v>208.34800000000001</v>
      </c>
      <c r="AE119" s="20">
        <v>0.75597999999999999</v>
      </c>
      <c r="AF119" s="20">
        <v>0.58179999999999998</v>
      </c>
    </row>
    <row r="120" spans="1:32">
      <c r="A120" s="20" t="s">
        <v>8</v>
      </c>
      <c r="B120" s="20" t="s">
        <v>13</v>
      </c>
      <c r="C120" s="20" t="s">
        <v>9</v>
      </c>
      <c r="D120" s="20" t="s">
        <v>8</v>
      </c>
      <c r="E120" s="20">
        <v>485</v>
      </c>
      <c r="F120" s="20">
        <v>71.651499999999999</v>
      </c>
      <c r="G120" s="20">
        <v>0.75663999999999998</v>
      </c>
      <c r="H120" s="20">
        <v>0.67520000000000002</v>
      </c>
      <c r="Y120" s="20" t="s">
        <v>8</v>
      </c>
      <c r="Z120" s="20" t="s">
        <v>13</v>
      </c>
      <c r="AA120" s="20" t="s">
        <v>9</v>
      </c>
      <c r="AB120" s="20" t="s">
        <v>9</v>
      </c>
      <c r="AC120" s="20">
        <v>2080.1</v>
      </c>
      <c r="AD120" s="20">
        <v>543.26700000000005</v>
      </c>
      <c r="AE120" s="20">
        <v>0.75683999999999996</v>
      </c>
      <c r="AF120" s="20">
        <v>0</v>
      </c>
    </row>
    <row r="121" spans="1:32">
      <c r="A121" s="20" t="s">
        <v>9</v>
      </c>
      <c r="B121" s="20" t="s">
        <v>13</v>
      </c>
      <c r="C121" s="20" t="s">
        <v>9</v>
      </c>
      <c r="D121" s="20" t="s">
        <v>8</v>
      </c>
      <c r="E121" s="20">
        <v>377.6</v>
      </c>
      <c r="F121" s="20">
        <v>51.6569</v>
      </c>
      <c r="G121" s="20">
        <v>0.75482000000000005</v>
      </c>
      <c r="H121" s="20">
        <v>0.67420000000000002</v>
      </c>
      <c r="Y121" s="20" t="s">
        <v>9</v>
      </c>
      <c r="Z121" s="20" t="s">
        <v>13</v>
      </c>
      <c r="AA121" s="20" t="s">
        <v>9</v>
      </c>
      <c r="AB121" s="20" t="s">
        <v>9</v>
      </c>
      <c r="AC121" s="20">
        <v>2080.1</v>
      </c>
      <c r="AD121" s="20">
        <v>692.60699999999997</v>
      </c>
      <c r="AE121" s="20">
        <v>0.75558000000000003</v>
      </c>
      <c r="AF121" s="20">
        <v>0</v>
      </c>
    </row>
    <row r="122" spans="1:32">
      <c r="A122" s="20" t="s">
        <v>10</v>
      </c>
      <c r="B122" s="20" t="s">
        <v>13</v>
      </c>
      <c r="C122" s="20" t="s">
        <v>9</v>
      </c>
      <c r="D122" s="20" t="s">
        <v>8</v>
      </c>
      <c r="E122" s="20">
        <v>319</v>
      </c>
      <c r="F122" s="20">
        <v>44.934399999999997</v>
      </c>
      <c r="G122" s="20">
        <v>0.75409000000000004</v>
      </c>
      <c r="H122" s="20">
        <v>0.67130000000000001</v>
      </c>
      <c r="Y122" s="20" t="s">
        <v>10</v>
      </c>
      <c r="Z122" s="20" t="s">
        <v>13</v>
      </c>
      <c r="AA122" s="20" t="s">
        <v>9</v>
      </c>
      <c r="AB122" s="20" t="s">
        <v>9</v>
      </c>
      <c r="AC122" s="20">
        <v>2080.1</v>
      </c>
      <c r="AD122" s="20">
        <v>538.60599999999999</v>
      </c>
      <c r="AE122" s="20">
        <v>0.75780000000000003</v>
      </c>
      <c r="AF122" s="20">
        <v>0</v>
      </c>
    </row>
    <row r="123" spans="1:32">
      <c r="A123" s="20" t="s">
        <v>11</v>
      </c>
      <c r="B123" s="20" t="s">
        <v>13</v>
      </c>
      <c r="C123" s="20" t="s">
        <v>9</v>
      </c>
      <c r="D123" s="20" t="s">
        <v>8</v>
      </c>
      <c r="E123" s="20">
        <v>312.5</v>
      </c>
      <c r="F123" s="20">
        <v>43.246499999999997</v>
      </c>
      <c r="G123" s="20">
        <v>0.75534999999999997</v>
      </c>
      <c r="H123" s="20">
        <v>0.67720000000000002</v>
      </c>
      <c r="Y123" s="20" t="s">
        <v>11</v>
      </c>
      <c r="Z123" s="20" t="s">
        <v>13</v>
      </c>
      <c r="AA123" s="20" t="s">
        <v>9</v>
      </c>
      <c r="AB123" s="20" t="s">
        <v>9</v>
      </c>
      <c r="AC123" s="20">
        <v>1878.3</v>
      </c>
      <c r="AD123" s="20">
        <v>404.50299999999999</v>
      </c>
      <c r="AE123" s="20">
        <v>0.75858999999999999</v>
      </c>
      <c r="AF123" s="20">
        <v>0</v>
      </c>
    </row>
    <row r="124" spans="1:32">
      <c r="A124" s="20" t="s">
        <v>12</v>
      </c>
      <c r="B124" s="20" t="s">
        <v>13</v>
      </c>
      <c r="C124" s="20" t="s">
        <v>9</v>
      </c>
      <c r="D124" s="20" t="s">
        <v>8</v>
      </c>
      <c r="E124" s="20">
        <v>296.2</v>
      </c>
      <c r="F124" s="20">
        <v>42.025300000000001</v>
      </c>
      <c r="G124" s="20">
        <v>0.75749999999999995</v>
      </c>
      <c r="H124" s="20">
        <v>0.67620000000000002</v>
      </c>
      <c r="Y124" s="20" t="s">
        <v>12</v>
      </c>
      <c r="Z124" s="20" t="s">
        <v>13</v>
      </c>
      <c r="AA124" s="20" t="s">
        <v>9</v>
      </c>
      <c r="AB124" s="20" t="s">
        <v>9</v>
      </c>
      <c r="AC124" s="20">
        <v>1494.2</v>
      </c>
      <c r="AD124" s="20">
        <v>315.029</v>
      </c>
      <c r="AE124" s="20">
        <v>0.75661</v>
      </c>
      <c r="AF124" s="20">
        <v>0.3695</v>
      </c>
    </row>
    <row r="125" spans="1:32">
      <c r="A125" s="20" t="s">
        <v>13</v>
      </c>
      <c r="B125" s="20" t="s">
        <v>13</v>
      </c>
      <c r="C125" s="20" t="s">
        <v>9</v>
      </c>
      <c r="D125" s="20" t="s">
        <v>8</v>
      </c>
      <c r="E125" s="20">
        <v>299.5</v>
      </c>
      <c r="F125" s="20">
        <v>41.489600000000003</v>
      </c>
      <c r="G125" s="20">
        <v>0.75770000000000004</v>
      </c>
      <c r="H125" s="20">
        <v>0.67520000000000002</v>
      </c>
      <c r="Y125" s="20" t="s">
        <v>13</v>
      </c>
      <c r="Z125" s="20" t="s">
        <v>13</v>
      </c>
      <c r="AA125" s="20" t="s">
        <v>9</v>
      </c>
      <c r="AB125" s="20" t="s">
        <v>9</v>
      </c>
      <c r="AC125" s="20">
        <v>1328.1</v>
      </c>
      <c r="AD125" s="20">
        <v>259.23599999999999</v>
      </c>
      <c r="AE125" s="20">
        <v>0.75878999999999996</v>
      </c>
      <c r="AF125" s="20">
        <v>0.47860000000000003</v>
      </c>
    </row>
    <row r="126" spans="1:32">
      <c r="A126" s="20" t="s">
        <v>14</v>
      </c>
      <c r="B126" s="20" t="s">
        <v>13</v>
      </c>
      <c r="C126" s="20" t="s">
        <v>9</v>
      </c>
      <c r="D126" s="20" t="s">
        <v>8</v>
      </c>
      <c r="E126" s="20">
        <v>286.5</v>
      </c>
      <c r="F126" s="20">
        <v>40.661000000000001</v>
      </c>
      <c r="G126" s="20">
        <v>0.76204000000000005</v>
      </c>
      <c r="H126" s="20">
        <v>0.67620000000000002</v>
      </c>
      <c r="Y126" s="20" t="s">
        <v>14</v>
      </c>
      <c r="Z126" s="20" t="s">
        <v>13</v>
      </c>
      <c r="AA126" s="20" t="s">
        <v>9</v>
      </c>
      <c r="AB126" s="20" t="s">
        <v>9</v>
      </c>
      <c r="AC126" s="20">
        <v>1162.0999999999999</v>
      </c>
      <c r="AD126" s="20">
        <v>230.613</v>
      </c>
      <c r="AE126" s="20">
        <v>0.76085000000000003</v>
      </c>
      <c r="AF126" s="20">
        <v>0.54249999999999998</v>
      </c>
    </row>
    <row r="127" spans="1:32">
      <c r="A127" s="20" t="s">
        <v>15</v>
      </c>
      <c r="B127" s="20" t="s">
        <v>13</v>
      </c>
      <c r="C127" s="20" t="s">
        <v>9</v>
      </c>
      <c r="D127" s="20" t="s">
        <v>8</v>
      </c>
      <c r="E127" s="20">
        <v>302.7</v>
      </c>
      <c r="F127" s="20">
        <v>40.506900000000002</v>
      </c>
      <c r="G127" s="20">
        <v>0.75846000000000002</v>
      </c>
      <c r="H127" s="20">
        <v>0.67810000000000004</v>
      </c>
      <c r="Y127" s="20" t="s">
        <v>15</v>
      </c>
      <c r="Z127" s="20" t="s">
        <v>13</v>
      </c>
      <c r="AA127" s="20" t="s">
        <v>9</v>
      </c>
      <c r="AB127" s="20" t="s">
        <v>9</v>
      </c>
      <c r="AC127" s="20">
        <v>999.4</v>
      </c>
      <c r="AD127" s="20">
        <v>199.76</v>
      </c>
      <c r="AE127" s="20">
        <v>0.75926000000000005</v>
      </c>
      <c r="AF127" s="20">
        <v>0.59360000000000002</v>
      </c>
    </row>
    <row r="128" spans="1:32">
      <c r="A128" s="20" t="s">
        <v>8</v>
      </c>
      <c r="B128" s="20" t="s">
        <v>14</v>
      </c>
      <c r="C128" s="20" t="s">
        <v>9</v>
      </c>
      <c r="D128" s="20" t="s">
        <v>8</v>
      </c>
      <c r="E128" s="20">
        <v>468.8</v>
      </c>
      <c r="F128" s="20">
        <v>69.6374</v>
      </c>
      <c r="G128" s="20">
        <v>0.75570999999999999</v>
      </c>
      <c r="H128" s="20">
        <v>0.67720000000000002</v>
      </c>
      <c r="Y128" s="20" t="s">
        <v>8</v>
      </c>
      <c r="Z128" s="20" t="s">
        <v>14</v>
      </c>
      <c r="AA128" s="20" t="s">
        <v>9</v>
      </c>
      <c r="AB128" s="20" t="s">
        <v>9</v>
      </c>
      <c r="AC128" s="20">
        <v>2080.1</v>
      </c>
      <c r="AD128" s="20">
        <v>542.798</v>
      </c>
      <c r="AE128" s="20">
        <v>0.75641000000000003</v>
      </c>
      <c r="AF128" s="20">
        <v>0</v>
      </c>
    </row>
    <row r="129" spans="1:32">
      <c r="A129" s="20" t="s">
        <v>9</v>
      </c>
      <c r="B129" s="20" t="s">
        <v>14</v>
      </c>
      <c r="C129" s="20" t="s">
        <v>9</v>
      </c>
      <c r="D129" s="20" t="s">
        <v>8</v>
      </c>
      <c r="E129" s="20">
        <v>387.4</v>
      </c>
      <c r="F129" s="20">
        <v>50.862099999999998</v>
      </c>
      <c r="G129" s="20">
        <v>0.76134999999999997</v>
      </c>
      <c r="H129" s="20">
        <v>0.67720000000000002</v>
      </c>
      <c r="Y129" s="20" t="s">
        <v>9</v>
      </c>
      <c r="Z129" s="20" t="s">
        <v>14</v>
      </c>
      <c r="AA129" s="20" t="s">
        <v>9</v>
      </c>
      <c r="AB129" s="20" t="s">
        <v>9</v>
      </c>
      <c r="AC129" s="20">
        <v>2080.1</v>
      </c>
      <c r="AD129" s="20">
        <v>687.63</v>
      </c>
      <c r="AE129" s="20">
        <v>0.75951999999999997</v>
      </c>
      <c r="AF129" s="20">
        <v>0</v>
      </c>
    </row>
    <row r="130" spans="1:32">
      <c r="A130" s="20" t="s">
        <v>10</v>
      </c>
      <c r="B130" s="20" t="s">
        <v>14</v>
      </c>
      <c r="C130" s="20" t="s">
        <v>9</v>
      </c>
      <c r="D130" s="20" t="s">
        <v>8</v>
      </c>
      <c r="E130" s="20">
        <v>325.5</v>
      </c>
      <c r="F130" s="20">
        <v>45.2926</v>
      </c>
      <c r="G130" s="20">
        <v>0.75888999999999995</v>
      </c>
      <c r="H130" s="20">
        <v>0.67910000000000004</v>
      </c>
      <c r="Y130" s="20" t="s">
        <v>10</v>
      </c>
      <c r="Z130" s="20" t="s">
        <v>14</v>
      </c>
      <c r="AA130" s="20" t="s">
        <v>9</v>
      </c>
      <c r="AB130" s="20" t="s">
        <v>9</v>
      </c>
      <c r="AC130" s="20">
        <v>2076.8000000000002</v>
      </c>
      <c r="AD130" s="20">
        <v>504.22199999999998</v>
      </c>
      <c r="AE130" s="20">
        <v>0.76297000000000004</v>
      </c>
      <c r="AF130" s="20">
        <v>3.8999999999999998E-3</v>
      </c>
    </row>
    <row r="131" spans="1:32">
      <c r="A131" s="20" t="s">
        <v>11</v>
      </c>
      <c r="B131" s="20" t="s">
        <v>14</v>
      </c>
      <c r="C131" s="20" t="s">
        <v>9</v>
      </c>
      <c r="D131" s="20" t="s">
        <v>8</v>
      </c>
      <c r="E131" s="20">
        <v>306</v>
      </c>
      <c r="F131" s="20">
        <v>43.353299999999997</v>
      </c>
      <c r="G131" s="20">
        <v>0.75295999999999996</v>
      </c>
      <c r="H131" s="20">
        <v>0.67810000000000004</v>
      </c>
      <c r="Y131" s="20" t="s">
        <v>11</v>
      </c>
      <c r="Z131" s="20" t="s">
        <v>14</v>
      </c>
      <c r="AA131" s="20" t="s">
        <v>9</v>
      </c>
      <c r="AB131" s="20" t="s">
        <v>9</v>
      </c>
      <c r="AC131" s="20">
        <v>1627.6</v>
      </c>
      <c r="AD131" s="20">
        <v>373.81</v>
      </c>
      <c r="AE131" s="20">
        <v>0.75783</v>
      </c>
      <c r="AF131" s="20">
        <v>0</v>
      </c>
    </row>
    <row r="132" spans="1:32">
      <c r="A132" s="20" t="s">
        <v>12</v>
      </c>
      <c r="B132" s="20" t="s">
        <v>14</v>
      </c>
      <c r="C132" s="20" t="s">
        <v>9</v>
      </c>
      <c r="D132" s="20" t="s">
        <v>8</v>
      </c>
      <c r="E132" s="20">
        <v>309.2</v>
      </c>
      <c r="F132" s="20">
        <v>41.61</v>
      </c>
      <c r="G132" s="20">
        <v>0.75683999999999996</v>
      </c>
      <c r="H132" s="20">
        <v>0.67620000000000002</v>
      </c>
      <c r="Y132" s="20" t="s">
        <v>12</v>
      </c>
      <c r="Z132" s="20" t="s">
        <v>14</v>
      </c>
      <c r="AA132" s="20" t="s">
        <v>9</v>
      </c>
      <c r="AB132" s="20" t="s">
        <v>9</v>
      </c>
      <c r="AC132" s="20">
        <v>1438.8</v>
      </c>
      <c r="AD132" s="20">
        <v>301.20999999999998</v>
      </c>
      <c r="AE132" s="20">
        <v>0.75697000000000003</v>
      </c>
      <c r="AF132" s="20">
        <v>0.38229999999999997</v>
      </c>
    </row>
    <row r="133" spans="1:32">
      <c r="A133" s="20" t="s">
        <v>13</v>
      </c>
      <c r="B133" s="20" t="s">
        <v>14</v>
      </c>
      <c r="C133" s="20" t="s">
        <v>9</v>
      </c>
      <c r="D133" s="20" t="s">
        <v>8</v>
      </c>
      <c r="E133" s="20">
        <v>312.5</v>
      </c>
      <c r="F133" s="20">
        <v>41.177500000000002</v>
      </c>
      <c r="G133" s="20">
        <v>0.75644</v>
      </c>
      <c r="H133" s="20">
        <v>0.67810000000000004</v>
      </c>
      <c r="Y133" s="20" t="s">
        <v>13</v>
      </c>
      <c r="Z133" s="20" t="s">
        <v>14</v>
      </c>
      <c r="AA133" s="20" t="s">
        <v>9</v>
      </c>
      <c r="AB133" s="20" t="s">
        <v>9</v>
      </c>
      <c r="AC133" s="20">
        <v>1178.4000000000001</v>
      </c>
      <c r="AD133" s="20">
        <v>255.726</v>
      </c>
      <c r="AE133" s="20">
        <v>0.76002000000000003</v>
      </c>
      <c r="AF133" s="20">
        <v>0.50219999999999998</v>
      </c>
    </row>
    <row r="134" spans="1:32">
      <c r="A134" s="20" t="s">
        <v>14</v>
      </c>
      <c r="B134" s="20" t="s">
        <v>14</v>
      </c>
      <c r="C134" s="20" t="s">
        <v>9</v>
      </c>
      <c r="D134" s="20" t="s">
        <v>8</v>
      </c>
      <c r="E134" s="20">
        <v>306</v>
      </c>
      <c r="F134" s="20">
        <v>40.814999999999998</v>
      </c>
      <c r="G134" s="20">
        <v>0.75644</v>
      </c>
      <c r="H134" s="20">
        <v>0.67520000000000002</v>
      </c>
      <c r="Y134" s="20" t="s">
        <v>14</v>
      </c>
      <c r="Z134" s="20" t="s">
        <v>14</v>
      </c>
      <c r="AA134" s="20" t="s">
        <v>9</v>
      </c>
      <c r="AB134" s="20" t="s">
        <v>9</v>
      </c>
      <c r="AC134" s="20">
        <v>1106.8</v>
      </c>
      <c r="AD134" s="20">
        <v>219.51300000000001</v>
      </c>
      <c r="AE134" s="20">
        <v>0.75700000000000001</v>
      </c>
      <c r="AF134" s="20">
        <v>0.55730000000000002</v>
      </c>
    </row>
    <row r="135" spans="1:32">
      <c r="A135" s="20" t="s">
        <v>15</v>
      </c>
      <c r="B135" s="20" t="s">
        <v>14</v>
      </c>
      <c r="C135" s="20" t="s">
        <v>9</v>
      </c>
      <c r="D135" s="20" t="s">
        <v>8</v>
      </c>
      <c r="E135" s="20">
        <v>286.5</v>
      </c>
      <c r="F135" s="20">
        <v>40.243499999999997</v>
      </c>
      <c r="G135" s="20">
        <v>0.75478000000000001</v>
      </c>
      <c r="H135" s="20">
        <v>0.67810000000000004</v>
      </c>
      <c r="Y135" s="20" t="s">
        <v>15</v>
      </c>
      <c r="Z135" s="20" t="s">
        <v>14</v>
      </c>
      <c r="AA135" s="20" t="s">
        <v>9</v>
      </c>
      <c r="AB135" s="20" t="s">
        <v>9</v>
      </c>
      <c r="AC135" s="20">
        <v>986.3</v>
      </c>
      <c r="AD135" s="20">
        <v>194.37899999999999</v>
      </c>
      <c r="AE135" s="20">
        <v>0.75693999999999995</v>
      </c>
      <c r="AF135" s="20">
        <v>0.60840000000000005</v>
      </c>
    </row>
    <row r="136" spans="1:32">
      <c r="A136" s="20" t="s">
        <v>8</v>
      </c>
      <c r="B136" s="20" t="s">
        <v>15</v>
      </c>
      <c r="C136" s="20" t="s">
        <v>9</v>
      </c>
      <c r="D136" s="20" t="s">
        <v>8</v>
      </c>
      <c r="E136" s="20">
        <v>465.5</v>
      </c>
      <c r="F136" s="20">
        <v>66.921999999999997</v>
      </c>
      <c r="G136" s="20">
        <v>0.75815999999999995</v>
      </c>
      <c r="H136" s="20">
        <v>0.67810000000000004</v>
      </c>
      <c r="Y136" s="20" t="s">
        <v>8</v>
      </c>
      <c r="Z136" s="20" t="s">
        <v>15</v>
      </c>
      <c r="AA136" s="20" t="s">
        <v>9</v>
      </c>
      <c r="AB136" s="20" t="s">
        <v>9</v>
      </c>
      <c r="AC136" s="20">
        <v>2080.1</v>
      </c>
      <c r="AD136" s="20">
        <v>550.82299999999998</v>
      </c>
      <c r="AE136" s="20">
        <v>0.75527999999999995</v>
      </c>
      <c r="AF136" s="20">
        <v>0</v>
      </c>
    </row>
    <row r="137" spans="1:32">
      <c r="A137" s="20" t="s">
        <v>9</v>
      </c>
      <c r="B137" s="20" t="s">
        <v>15</v>
      </c>
      <c r="C137" s="20" t="s">
        <v>9</v>
      </c>
      <c r="D137" s="20" t="s">
        <v>8</v>
      </c>
      <c r="E137" s="20">
        <v>371.1</v>
      </c>
      <c r="F137" s="20">
        <v>49.892099999999999</v>
      </c>
      <c r="G137" s="20">
        <v>0.75780000000000003</v>
      </c>
      <c r="H137" s="20">
        <v>0.67720000000000002</v>
      </c>
      <c r="Y137" s="20" t="s">
        <v>9</v>
      </c>
      <c r="Z137" s="20" t="s">
        <v>15</v>
      </c>
      <c r="AA137" s="20" t="s">
        <v>9</v>
      </c>
      <c r="AB137" s="20" t="s">
        <v>9</v>
      </c>
      <c r="AC137" s="20">
        <v>2080.1</v>
      </c>
      <c r="AD137" s="20">
        <v>646.87</v>
      </c>
      <c r="AE137" s="20">
        <v>0.76234000000000002</v>
      </c>
      <c r="AF137" s="20">
        <v>0</v>
      </c>
    </row>
    <row r="138" spans="1:32">
      <c r="A138" s="20" t="s">
        <v>10</v>
      </c>
      <c r="B138" s="20" t="s">
        <v>15</v>
      </c>
      <c r="C138" s="20" t="s">
        <v>9</v>
      </c>
      <c r="D138" s="20" t="s">
        <v>8</v>
      </c>
      <c r="E138" s="20">
        <v>341.8</v>
      </c>
      <c r="F138" s="20">
        <v>45.384900000000002</v>
      </c>
      <c r="G138" s="20">
        <v>0.75883</v>
      </c>
      <c r="H138" s="20">
        <v>0.67910000000000004</v>
      </c>
      <c r="Y138" s="20" t="s">
        <v>10</v>
      </c>
      <c r="Z138" s="20" t="s">
        <v>15</v>
      </c>
      <c r="AA138" s="20" t="s">
        <v>9</v>
      </c>
      <c r="AB138" s="20" t="s">
        <v>9</v>
      </c>
      <c r="AC138" s="20">
        <v>2057.3000000000002</v>
      </c>
      <c r="AD138" s="20">
        <v>472.72300000000001</v>
      </c>
      <c r="AE138" s="20">
        <v>0.76078000000000001</v>
      </c>
      <c r="AF138" s="20">
        <v>5.8000000000000003E-2</v>
      </c>
    </row>
    <row r="139" spans="1:32">
      <c r="A139" s="20" t="s">
        <v>11</v>
      </c>
      <c r="B139" s="20" t="s">
        <v>15</v>
      </c>
      <c r="C139" s="20" t="s">
        <v>9</v>
      </c>
      <c r="D139" s="20" t="s">
        <v>8</v>
      </c>
      <c r="E139" s="20">
        <v>315.8</v>
      </c>
      <c r="F139" s="20">
        <v>42.819200000000002</v>
      </c>
      <c r="G139" s="20">
        <v>0.75388999999999995</v>
      </c>
      <c r="H139" s="20">
        <v>0.68010000000000004</v>
      </c>
      <c r="Y139" s="20" t="s">
        <v>11</v>
      </c>
      <c r="Z139" s="20" t="s">
        <v>15</v>
      </c>
      <c r="AA139" s="20" t="s">
        <v>9</v>
      </c>
      <c r="AB139" s="20" t="s">
        <v>9</v>
      </c>
      <c r="AC139" s="20">
        <v>1669.9</v>
      </c>
      <c r="AD139" s="20">
        <v>357.447</v>
      </c>
      <c r="AE139" s="20">
        <v>0.75895999999999997</v>
      </c>
      <c r="AF139" s="20">
        <v>0</v>
      </c>
    </row>
    <row r="140" spans="1:32">
      <c r="A140" s="20" t="s">
        <v>12</v>
      </c>
      <c r="B140" s="20" t="s">
        <v>15</v>
      </c>
      <c r="C140" s="20" t="s">
        <v>9</v>
      </c>
      <c r="D140" s="20" t="s">
        <v>8</v>
      </c>
      <c r="E140" s="20">
        <v>296.2</v>
      </c>
      <c r="F140" s="20">
        <v>41.387700000000002</v>
      </c>
      <c r="G140" s="20">
        <v>0.75868999999999998</v>
      </c>
      <c r="H140" s="20">
        <v>0.67810000000000004</v>
      </c>
      <c r="Y140" s="20" t="s">
        <v>12</v>
      </c>
      <c r="Z140" s="20" t="s">
        <v>15</v>
      </c>
      <c r="AA140" s="20" t="s">
        <v>9</v>
      </c>
      <c r="AB140" s="20" t="s">
        <v>9</v>
      </c>
      <c r="AC140" s="20">
        <v>1253.3</v>
      </c>
      <c r="AD140" s="20">
        <v>284.63499999999999</v>
      </c>
      <c r="AE140" s="20">
        <v>0.75719999999999998</v>
      </c>
      <c r="AF140" s="20">
        <v>0.42559999999999998</v>
      </c>
    </row>
    <row r="141" spans="1:32">
      <c r="A141" s="20" t="s">
        <v>13</v>
      </c>
      <c r="B141" s="20" t="s">
        <v>15</v>
      </c>
      <c r="C141" s="20" t="s">
        <v>9</v>
      </c>
      <c r="D141" s="20" t="s">
        <v>8</v>
      </c>
      <c r="E141" s="20">
        <v>296.2</v>
      </c>
      <c r="F141" s="20">
        <v>41.448700000000002</v>
      </c>
      <c r="G141" s="20">
        <v>0.75892999999999999</v>
      </c>
      <c r="H141" s="20">
        <v>0.67520000000000002</v>
      </c>
      <c r="Y141" s="20" t="s">
        <v>13</v>
      </c>
      <c r="Z141" s="20" t="s">
        <v>15</v>
      </c>
      <c r="AA141" s="20" t="s">
        <v>9</v>
      </c>
      <c r="AB141" s="20" t="s">
        <v>9</v>
      </c>
      <c r="AC141" s="20">
        <v>1171.9000000000001</v>
      </c>
      <c r="AD141" s="20">
        <v>240.55600000000001</v>
      </c>
      <c r="AE141" s="20">
        <v>0.75922000000000001</v>
      </c>
      <c r="AF141" s="20">
        <v>0.52480000000000004</v>
      </c>
    </row>
    <row r="142" spans="1:32">
      <c r="A142" s="20" t="s">
        <v>14</v>
      </c>
      <c r="B142" s="20" t="s">
        <v>15</v>
      </c>
      <c r="C142" s="20" t="s">
        <v>9</v>
      </c>
      <c r="D142" s="20" t="s">
        <v>8</v>
      </c>
      <c r="E142" s="20">
        <v>296.2</v>
      </c>
      <c r="F142" s="20">
        <v>41.043399999999998</v>
      </c>
      <c r="G142" s="20">
        <v>0.75395000000000001</v>
      </c>
      <c r="H142" s="20">
        <v>0.67130000000000001</v>
      </c>
      <c r="Y142" s="20" t="s">
        <v>14</v>
      </c>
      <c r="Z142" s="20" t="s">
        <v>15</v>
      </c>
      <c r="AA142" s="20" t="s">
        <v>9</v>
      </c>
      <c r="AB142" s="20" t="s">
        <v>9</v>
      </c>
      <c r="AC142" s="20">
        <v>1106.8</v>
      </c>
      <c r="AD142" s="20">
        <v>207.297</v>
      </c>
      <c r="AE142" s="20">
        <v>0.75424999999999998</v>
      </c>
      <c r="AF142" s="20">
        <v>0.56510000000000005</v>
      </c>
    </row>
    <row r="143" spans="1:32">
      <c r="A143" s="20" t="s">
        <v>15</v>
      </c>
      <c r="B143" s="20" t="s">
        <v>15</v>
      </c>
      <c r="C143" s="20" t="s">
        <v>9</v>
      </c>
      <c r="D143" s="20" t="s">
        <v>8</v>
      </c>
      <c r="E143" s="20">
        <v>299.5</v>
      </c>
      <c r="F143" s="20">
        <v>40.6905</v>
      </c>
      <c r="G143" s="20">
        <v>0.75482000000000005</v>
      </c>
      <c r="H143" s="20">
        <v>0.67520000000000002</v>
      </c>
      <c r="Y143" s="20" t="s">
        <v>15</v>
      </c>
      <c r="Z143" s="20" t="s">
        <v>15</v>
      </c>
      <c r="AA143" s="20" t="s">
        <v>9</v>
      </c>
      <c r="AB143" s="20" t="s">
        <v>9</v>
      </c>
      <c r="AC143" s="20">
        <v>911.5</v>
      </c>
      <c r="AD143" s="20">
        <v>183.245</v>
      </c>
      <c r="AE143" s="20">
        <v>0.75949</v>
      </c>
      <c r="AF143" s="20">
        <v>0.61519999999999997</v>
      </c>
    </row>
    <row r="146" spans="1:5" s="1" customFormat="1"/>
    <row r="148" spans="1:5">
      <c r="A148" s="23" t="s">
        <v>86</v>
      </c>
    </row>
    <row r="149" spans="1:5">
      <c r="A149" s="23" t="s">
        <v>85</v>
      </c>
    </row>
    <row r="151" spans="1:5">
      <c r="B151" s="20" t="s">
        <v>82</v>
      </c>
      <c r="C151" s="20" t="s">
        <v>83</v>
      </c>
      <c r="D151" s="20" t="s">
        <v>84</v>
      </c>
      <c r="E151" s="20" t="s">
        <v>337</v>
      </c>
    </row>
    <row r="152" spans="1:5">
      <c r="B152" s="24" t="s">
        <v>74</v>
      </c>
      <c r="C152" s="20">
        <v>2.5</v>
      </c>
      <c r="D152" s="20">
        <v>37.429000000000002</v>
      </c>
      <c r="E152" s="20">
        <v>43.058999999999997</v>
      </c>
    </row>
    <row r="153" spans="1:5">
      <c r="B153" s="24" t="s">
        <v>75</v>
      </c>
      <c r="C153" s="20">
        <v>5</v>
      </c>
      <c r="D153" s="20">
        <v>28.268000000000001</v>
      </c>
      <c r="E153" s="20">
        <v>28.803000000000001</v>
      </c>
    </row>
    <row r="154" spans="1:5">
      <c r="B154" s="24" t="s">
        <v>76</v>
      </c>
      <c r="C154" s="20">
        <v>7.5</v>
      </c>
      <c r="D154" s="20">
        <v>31.154</v>
      </c>
      <c r="E154" s="20">
        <v>29.436</v>
      </c>
    </row>
    <row r="155" spans="1:5">
      <c r="B155" s="24" t="s">
        <v>77</v>
      </c>
      <c r="C155" s="20">
        <v>10</v>
      </c>
      <c r="D155" s="20">
        <v>28.536999999999999</v>
      </c>
      <c r="E155" s="20">
        <v>28.701000000000001</v>
      </c>
    </row>
    <row r="156" spans="1:5">
      <c r="B156" s="24" t="s">
        <v>78</v>
      </c>
      <c r="C156" s="20">
        <v>12.5</v>
      </c>
      <c r="D156" s="20">
        <v>27.291</v>
      </c>
      <c r="E156" s="20">
        <v>30.308</v>
      </c>
    </row>
    <row r="157" spans="1:5">
      <c r="B157" s="24" t="s">
        <v>79</v>
      </c>
      <c r="C157" s="20">
        <v>15</v>
      </c>
      <c r="D157" s="20">
        <v>31.129000000000001</v>
      </c>
      <c r="E157" s="20">
        <v>33.054000000000002</v>
      </c>
    </row>
    <row r="158" spans="1:5">
      <c r="B158" s="24" t="s">
        <v>80</v>
      </c>
      <c r="C158" s="20">
        <v>17.5</v>
      </c>
      <c r="D158" s="20">
        <v>29.963999999999999</v>
      </c>
      <c r="E158" s="20">
        <v>30.297999999999998</v>
      </c>
    </row>
    <row r="159" spans="1:5">
      <c r="B159" s="24" t="s">
        <v>81</v>
      </c>
      <c r="C159" s="20">
        <v>20</v>
      </c>
      <c r="D159" s="25">
        <v>28.552</v>
      </c>
      <c r="E159" s="20">
        <v>31.062999999999999</v>
      </c>
    </row>
    <row r="160" spans="1:5">
      <c r="B160" s="22"/>
    </row>
    <row r="161" spans="2:2">
      <c r="B161" s="22"/>
    </row>
    <row r="163" spans="2:2">
      <c r="B163" s="22"/>
    </row>
    <row r="164" spans="2:2">
      <c r="B164" s="22"/>
    </row>
    <row r="165" spans="2:2">
      <c r="B165" s="22"/>
    </row>
    <row r="166" spans="2:2">
      <c r="B166" s="22"/>
    </row>
    <row r="167" spans="2:2">
      <c r="B167" s="22"/>
    </row>
    <row r="168" spans="2:2">
      <c r="B168" s="22"/>
    </row>
    <row r="169" spans="2:2">
      <c r="B169" s="22"/>
    </row>
    <row r="170" spans="2:2">
      <c r="B170" s="22"/>
    </row>
    <row r="209" spans="21:21" s="2" customFormat="1">
      <c r="U209" s="1"/>
    </row>
  </sheetData>
  <autoFilter ref="F1:F209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workbookViewId="0">
      <selection activeCell="F5" sqref="F5"/>
    </sheetView>
  </sheetViews>
  <sheetFormatPr defaultRowHeight="14.4"/>
  <cols>
    <col min="2" max="2" width="20.77734375" customWidth="1"/>
    <col min="3" max="3" width="17.77734375" customWidth="1"/>
    <col min="9" max="9" width="20.44140625" customWidth="1"/>
    <col min="10" max="10" width="12.77734375" customWidth="1"/>
  </cols>
  <sheetData>
    <row r="2" spans="1:10">
      <c r="A2" t="s">
        <v>325</v>
      </c>
      <c r="H2" t="s">
        <v>206</v>
      </c>
    </row>
    <row r="3" spans="1:10" ht="66.75" customHeight="1">
      <c r="A3" s="61"/>
      <c r="B3" s="62" t="s">
        <v>326</v>
      </c>
      <c r="C3" s="62" t="s">
        <v>327</v>
      </c>
      <c r="H3" s="61"/>
      <c r="I3" s="62" t="s">
        <v>326</v>
      </c>
      <c r="J3" s="62" t="s">
        <v>327</v>
      </c>
    </row>
    <row r="4" spans="1:10" ht="16.2">
      <c r="A4" s="63">
        <v>1</v>
      </c>
      <c r="B4" s="64">
        <v>32.750999999999998</v>
      </c>
      <c r="C4" s="65" t="s">
        <v>328</v>
      </c>
      <c r="H4" s="68">
        <v>1</v>
      </c>
      <c r="I4" s="64">
        <v>30.524000000000001</v>
      </c>
      <c r="J4" s="65" t="s">
        <v>328</v>
      </c>
    </row>
    <row r="5" spans="1:10" ht="16.2">
      <c r="A5" s="63">
        <v>2</v>
      </c>
      <c r="B5" s="64">
        <v>33.996000000000002</v>
      </c>
      <c r="C5" s="65" t="s">
        <v>328</v>
      </c>
      <c r="H5" s="68">
        <v>2</v>
      </c>
      <c r="I5" s="64">
        <v>28.297000000000001</v>
      </c>
      <c r="J5" s="65" t="s">
        <v>328</v>
      </c>
    </row>
    <row r="6" spans="1:10" ht="16.2">
      <c r="A6" s="63">
        <v>3</v>
      </c>
      <c r="B6" s="64">
        <v>30.686</v>
      </c>
      <c r="C6" s="65" t="s">
        <v>328</v>
      </c>
      <c r="H6" s="68">
        <v>3</v>
      </c>
      <c r="I6" s="64">
        <v>29.734999999999999</v>
      </c>
      <c r="J6" s="65" t="s">
        <v>328</v>
      </c>
    </row>
    <row r="7" spans="1:10" ht="16.2">
      <c r="A7" s="63">
        <v>4</v>
      </c>
      <c r="B7" s="64">
        <v>30.422000000000001</v>
      </c>
      <c r="C7" s="65" t="s">
        <v>328</v>
      </c>
      <c r="H7" s="68">
        <v>4</v>
      </c>
      <c r="I7" s="64">
        <v>32.558</v>
      </c>
      <c r="J7" s="65" t="s">
        <v>328</v>
      </c>
    </row>
    <row r="8" spans="1:10" ht="16.2">
      <c r="A8" s="63">
        <v>5</v>
      </c>
      <c r="B8" s="64">
        <v>31.257999999999999</v>
      </c>
      <c r="C8" s="65" t="s">
        <v>328</v>
      </c>
      <c r="H8" s="68">
        <v>5</v>
      </c>
      <c r="I8" s="64">
        <v>34.085999999999999</v>
      </c>
      <c r="J8" s="65" t="s">
        <v>328</v>
      </c>
    </row>
    <row r="9" spans="1:10" ht="16.2">
      <c r="A9" s="63">
        <v>6</v>
      </c>
      <c r="B9" s="64">
        <v>29.593</v>
      </c>
      <c r="C9" s="65" t="s">
        <v>328</v>
      </c>
      <c r="H9" s="68">
        <v>6</v>
      </c>
      <c r="I9" s="64">
        <v>30.263000000000002</v>
      </c>
      <c r="J9" s="65" t="s">
        <v>328</v>
      </c>
    </row>
    <row r="10" spans="1:10" ht="16.2">
      <c r="A10" s="63">
        <v>7</v>
      </c>
      <c r="B10" s="64">
        <v>28.872</v>
      </c>
      <c r="C10" s="65" t="s">
        <v>328</v>
      </c>
      <c r="H10" s="68">
        <v>7</v>
      </c>
      <c r="I10" s="64">
        <v>29.667999999999999</v>
      </c>
      <c r="J10" s="65" t="s">
        <v>328</v>
      </c>
    </row>
    <row r="11" spans="1:10" ht="16.2">
      <c r="A11" s="63">
        <v>8</v>
      </c>
      <c r="B11" s="64">
        <v>31.905999999999999</v>
      </c>
      <c r="C11" s="65" t="s">
        <v>328</v>
      </c>
      <c r="H11" s="68">
        <v>8</v>
      </c>
      <c r="I11" s="64">
        <v>31.45</v>
      </c>
      <c r="J11" s="65" t="s">
        <v>328</v>
      </c>
    </row>
    <row r="12" spans="1:10" ht="16.2">
      <c r="A12" s="63">
        <v>9</v>
      </c>
      <c r="B12" s="64">
        <v>28.901</v>
      </c>
      <c r="C12" s="65" t="s">
        <v>328</v>
      </c>
      <c r="H12" s="68">
        <v>9</v>
      </c>
      <c r="I12" s="64">
        <v>33.162999999999997</v>
      </c>
      <c r="J12" s="65" t="s">
        <v>328</v>
      </c>
    </row>
    <row r="13" spans="1:10" ht="16.2">
      <c r="A13" s="63">
        <v>10</v>
      </c>
      <c r="B13" s="64">
        <v>32.840000000000003</v>
      </c>
      <c r="C13" s="65" t="s">
        <v>328</v>
      </c>
      <c r="H13" s="68">
        <v>10</v>
      </c>
      <c r="I13" s="64">
        <v>31.242999999999999</v>
      </c>
      <c r="J13" s="65" t="s">
        <v>328</v>
      </c>
    </row>
    <row r="14" spans="1:10" ht="16.2">
      <c r="A14" s="63">
        <v>11</v>
      </c>
      <c r="B14" s="64">
        <v>31.382000000000001</v>
      </c>
      <c r="C14" s="65" t="s">
        <v>328</v>
      </c>
      <c r="H14" s="68">
        <v>11</v>
      </c>
      <c r="I14" s="64">
        <v>29.134</v>
      </c>
      <c r="J14" s="65" t="s">
        <v>328</v>
      </c>
    </row>
    <row r="15" spans="1:10" ht="16.2">
      <c r="A15" s="63">
        <v>12</v>
      </c>
      <c r="B15" s="64">
        <v>29.533999999999999</v>
      </c>
      <c r="C15" s="65" t="s">
        <v>328</v>
      </c>
      <c r="H15" s="68">
        <v>12</v>
      </c>
      <c r="I15" s="64">
        <v>28.346</v>
      </c>
      <c r="J15" s="65" t="s">
        <v>328</v>
      </c>
    </row>
    <row r="16" spans="1:10" ht="16.2">
      <c r="A16" s="63">
        <v>13</v>
      </c>
      <c r="B16" s="64">
        <v>30.606999999999999</v>
      </c>
      <c r="C16" s="65" t="s">
        <v>328</v>
      </c>
      <c r="H16" s="68">
        <v>13</v>
      </c>
      <c r="I16" s="64">
        <v>31.199000000000002</v>
      </c>
      <c r="J16" s="65" t="s">
        <v>328</v>
      </c>
    </row>
    <row r="17" spans="1:10" ht="16.2">
      <c r="A17" s="63">
        <v>14</v>
      </c>
      <c r="B17" s="64">
        <v>33.302999999999997</v>
      </c>
      <c r="C17" s="65" t="s">
        <v>328</v>
      </c>
      <c r="H17" s="68">
        <v>14</v>
      </c>
      <c r="I17" s="64">
        <v>32.533000000000001</v>
      </c>
      <c r="J17" s="65" t="s">
        <v>328</v>
      </c>
    </row>
    <row r="18" spans="1:10" ht="16.2">
      <c r="A18" s="63">
        <v>15</v>
      </c>
      <c r="B18" s="64">
        <v>28.285</v>
      </c>
      <c r="C18" s="65" t="s">
        <v>328</v>
      </c>
      <c r="H18" s="68">
        <v>15</v>
      </c>
      <c r="I18" s="64">
        <v>30.353000000000002</v>
      </c>
      <c r="J18" s="65" t="s">
        <v>328</v>
      </c>
    </row>
    <row r="19" spans="1:10" ht="16.2">
      <c r="A19" s="63">
        <v>16</v>
      </c>
      <c r="B19" s="64">
        <v>30.888000000000002</v>
      </c>
      <c r="C19" s="65" t="s">
        <v>328</v>
      </c>
      <c r="H19" s="68">
        <v>16</v>
      </c>
      <c r="I19" s="64">
        <v>34.012999999999998</v>
      </c>
      <c r="J19" s="65" t="s">
        <v>328</v>
      </c>
    </row>
    <row r="20" spans="1:10" ht="16.2">
      <c r="A20" s="63">
        <v>17</v>
      </c>
      <c r="B20" s="64">
        <v>32.029000000000003</v>
      </c>
      <c r="C20" s="65" t="s">
        <v>328</v>
      </c>
      <c r="H20" s="68">
        <v>17</v>
      </c>
      <c r="I20" s="64">
        <v>33.061</v>
      </c>
      <c r="J20" s="65" t="s">
        <v>328</v>
      </c>
    </row>
    <row r="21" spans="1:10" ht="16.2">
      <c r="A21" s="63">
        <v>18</v>
      </c>
      <c r="B21" s="64">
        <v>29.291</v>
      </c>
      <c r="C21" s="65" t="s">
        <v>328</v>
      </c>
      <c r="H21" s="68">
        <v>18</v>
      </c>
      <c r="I21" s="64">
        <v>29.018000000000001</v>
      </c>
      <c r="J21" s="65" t="s">
        <v>328</v>
      </c>
    </row>
    <row r="22" spans="1:10" ht="16.2">
      <c r="A22" s="63">
        <v>19</v>
      </c>
      <c r="B22" s="64">
        <v>34.526000000000003</v>
      </c>
      <c r="C22" s="65" t="s">
        <v>328</v>
      </c>
      <c r="H22" s="68">
        <v>19</v>
      </c>
      <c r="I22" s="64">
        <v>30.344000000000001</v>
      </c>
      <c r="J22" s="65" t="s">
        <v>328</v>
      </c>
    </row>
    <row r="23" spans="1:10" ht="16.2">
      <c r="A23" s="63">
        <v>20</v>
      </c>
      <c r="B23" s="64">
        <v>31.725999999999999</v>
      </c>
      <c r="C23" s="65" t="s">
        <v>328</v>
      </c>
      <c r="H23" s="68">
        <v>20</v>
      </c>
      <c r="I23" s="64">
        <v>34.128999999999998</v>
      </c>
      <c r="J23" s="65" t="s">
        <v>328</v>
      </c>
    </row>
    <row r="24" spans="1:10" ht="16.2">
      <c r="A24" s="63">
        <v>21</v>
      </c>
      <c r="B24" s="64">
        <v>35.207000000000001</v>
      </c>
      <c r="C24" s="65" t="s">
        <v>328</v>
      </c>
      <c r="H24" s="68">
        <v>21</v>
      </c>
      <c r="I24" s="64">
        <v>28.94</v>
      </c>
      <c r="J24" s="65" t="s">
        <v>328</v>
      </c>
    </row>
    <row r="25" spans="1:10" ht="16.2">
      <c r="A25" s="63">
        <v>22</v>
      </c>
      <c r="B25" s="64">
        <v>29.033000000000001</v>
      </c>
      <c r="C25" s="65" t="s">
        <v>328</v>
      </c>
      <c r="H25" s="68">
        <v>22</v>
      </c>
      <c r="I25" s="64">
        <v>30.762</v>
      </c>
      <c r="J25" s="65" t="s">
        <v>328</v>
      </c>
    </row>
    <row r="26" spans="1:10" ht="16.2">
      <c r="A26" s="63">
        <v>23</v>
      </c>
      <c r="B26" s="64">
        <v>31.029</v>
      </c>
      <c r="C26" s="65" t="s">
        <v>328</v>
      </c>
      <c r="H26" s="68">
        <v>23</v>
      </c>
      <c r="I26" s="64">
        <v>29.885000000000002</v>
      </c>
      <c r="J26" s="65" t="s">
        <v>328</v>
      </c>
    </row>
    <row r="27" spans="1:10" ht="16.2">
      <c r="A27" s="63">
        <v>24</v>
      </c>
      <c r="B27" s="64">
        <v>28.913</v>
      </c>
      <c r="C27" s="65" t="s">
        <v>328</v>
      </c>
      <c r="H27" s="68">
        <v>24</v>
      </c>
      <c r="I27" s="64">
        <v>32.587000000000003</v>
      </c>
      <c r="J27" s="65" t="s">
        <v>328</v>
      </c>
    </row>
    <row r="28" spans="1:10" ht="16.2">
      <c r="A28" s="63">
        <v>25</v>
      </c>
      <c r="B28" s="64">
        <v>28.486999999999998</v>
      </c>
      <c r="C28" s="65" t="s">
        <v>328</v>
      </c>
      <c r="H28" s="68">
        <v>25</v>
      </c>
      <c r="I28" s="64">
        <v>29.356999999999999</v>
      </c>
      <c r="J28" s="65" t="s">
        <v>328</v>
      </c>
    </row>
    <row r="29" spans="1:10" ht="15.6">
      <c r="A29" s="66" t="s">
        <v>329</v>
      </c>
      <c r="B29" s="67">
        <f>AVERAGEA(B4:B28)</f>
        <v>31.018600000000003</v>
      </c>
      <c r="C29" s="20"/>
      <c r="H29" s="66" t="s">
        <v>329</v>
      </c>
      <c r="I29" s="67">
        <f>AVERAGEA(I4:I28)</f>
        <v>30.985920000000007</v>
      </c>
      <c r="J29" s="2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25" sqref="E25"/>
    </sheetView>
  </sheetViews>
  <sheetFormatPr defaultRowHeight="14.4"/>
  <cols>
    <col min="1" max="1" width="12.6640625" customWidth="1"/>
    <col min="2" max="2" width="22.44140625" customWidth="1"/>
    <col min="3" max="3" width="20.21875" customWidth="1"/>
  </cols>
  <sheetData>
    <row r="1" spans="1:12">
      <c r="A1" s="23" t="s">
        <v>113</v>
      </c>
    </row>
    <row r="2" spans="1:12">
      <c r="A2" s="23" t="s">
        <v>110</v>
      </c>
    </row>
    <row r="3" spans="1:12">
      <c r="A3" s="23" t="s">
        <v>111</v>
      </c>
    </row>
    <row r="4" spans="1:12">
      <c r="A4" s="23" t="s">
        <v>114</v>
      </c>
    </row>
    <row r="5" spans="1:12">
      <c r="A5" s="23" t="s">
        <v>112</v>
      </c>
    </row>
    <row r="6" spans="1:12">
      <c r="A6" s="23"/>
    </row>
    <row r="8" spans="1:12">
      <c r="A8" s="83" t="s">
        <v>193</v>
      </c>
      <c r="B8" s="84"/>
      <c r="C8" s="85"/>
    </row>
    <row r="9" spans="1:12">
      <c r="A9" s="27" t="s">
        <v>90</v>
      </c>
      <c r="B9" s="26" t="s">
        <v>107</v>
      </c>
      <c r="C9" s="26" t="s">
        <v>108</v>
      </c>
    </row>
    <row r="10" spans="1:12">
      <c r="A10" s="24" t="s">
        <v>91</v>
      </c>
      <c r="B10" s="20">
        <v>0.09</v>
      </c>
      <c r="C10" s="20">
        <v>0.1</v>
      </c>
    </row>
    <row r="11" spans="1:12">
      <c r="A11" s="24" t="s">
        <v>92</v>
      </c>
      <c r="B11" s="20">
        <v>0.1</v>
      </c>
      <c r="C11" s="20">
        <v>0.11</v>
      </c>
      <c r="H11" s="20" t="s">
        <v>194</v>
      </c>
      <c r="I11" s="20"/>
      <c r="K11" s="20" t="s">
        <v>195</v>
      </c>
      <c r="L11" s="20"/>
    </row>
    <row r="12" spans="1:12">
      <c r="A12" s="24" t="s">
        <v>93</v>
      </c>
      <c r="B12" s="20">
        <v>0.11</v>
      </c>
      <c r="C12" s="20">
        <v>0.11</v>
      </c>
      <c r="H12" s="20" t="s">
        <v>191</v>
      </c>
      <c r="I12" s="20" t="s">
        <v>192</v>
      </c>
      <c r="K12" s="20" t="s">
        <v>191</v>
      </c>
      <c r="L12" s="20" t="s">
        <v>192</v>
      </c>
    </row>
    <row r="13" spans="1:12">
      <c r="A13" s="24" t="s">
        <v>94</v>
      </c>
      <c r="B13" s="20">
        <v>0.12</v>
      </c>
      <c r="C13" s="20">
        <v>0.12</v>
      </c>
      <c r="H13" s="20">
        <v>0.15</v>
      </c>
      <c r="I13" s="20">
        <v>0.14000000000000001</v>
      </c>
      <c r="K13" s="20">
        <v>0.15</v>
      </c>
      <c r="L13" s="20">
        <v>0.14000000000000001</v>
      </c>
    </row>
    <row r="14" spans="1:12">
      <c r="A14" s="24" t="s">
        <v>95</v>
      </c>
      <c r="B14" s="20">
        <v>0.12</v>
      </c>
      <c r="C14" s="20">
        <v>0.12</v>
      </c>
    </row>
    <row r="15" spans="1:12">
      <c r="A15" s="24" t="s">
        <v>96</v>
      </c>
      <c r="B15" s="20">
        <v>0.13</v>
      </c>
      <c r="C15" s="20">
        <v>0.13</v>
      </c>
    </row>
    <row r="16" spans="1:12">
      <c r="A16" s="24" t="s">
        <v>97</v>
      </c>
      <c r="B16" s="20">
        <v>0.14000000000000001</v>
      </c>
      <c r="C16" s="20">
        <v>0.14000000000000001</v>
      </c>
    </row>
    <row r="17" spans="1:4">
      <c r="A17" s="24" t="s">
        <v>98</v>
      </c>
      <c r="B17" s="20">
        <v>0.14000000000000001</v>
      </c>
      <c r="C17" s="20">
        <v>0.15</v>
      </c>
    </row>
    <row r="18" spans="1:4">
      <c r="A18" s="24" t="s">
        <v>99</v>
      </c>
      <c r="B18" s="20">
        <v>0.15</v>
      </c>
      <c r="C18" s="20">
        <v>0.15</v>
      </c>
    </row>
    <row r="19" spans="1:4">
      <c r="A19" s="28" t="s">
        <v>100</v>
      </c>
      <c r="B19" s="21">
        <v>0.16</v>
      </c>
      <c r="C19" s="21">
        <v>0.16</v>
      </c>
      <c r="D19" s="1" t="s">
        <v>109</v>
      </c>
    </row>
    <row r="20" spans="1:4">
      <c r="A20" s="24" t="s">
        <v>101</v>
      </c>
      <c r="B20" s="20">
        <v>0.16</v>
      </c>
      <c r="C20" s="20">
        <v>0.17</v>
      </c>
    </row>
    <row r="21" spans="1:4">
      <c r="A21" s="24" t="s">
        <v>102</v>
      </c>
      <c r="B21" s="20">
        <v>0.17</v>
      </c>
      <c r="C21" s="20">
        <v>0.18</v>
      </c>
    </row>
    <row r="22" spans="1:4">
      <c r="A22" s="24" t="s">
        <v>103</v>
      </c>
      <c r="B22" s="20">
        <v>0.18</v>
      </c>
      <c r="C22" s="20">
        <v>0.18</v>
      </c>
    </row>
    <row r="23" spans="1:4">
      <c r="A23" s="24" t="s">
        <v>104</v>
      </c>
      <c r="B23" s="20">
        <v>0.18</v>
      </c>
      <c r="C23" s="20">
        <v>0.19</v>
      </c>
    </row>
    <row r="24" spans="1:4">
      <c r="A24" s="24" t="s">
        <v>105</v>
      </c>
      <c r="B24" s="20">
        <v>0.19</v>
      </c>
      <c r="C24" s="20">
        <v>0.19</v>
      </c>
    </row>
    <row r="25" spans="1:4">
      <c r="A25" s="24" t="s">
        <v>106</v>
      </c>
      <c r="B25" s="20">
        <v>0.2</v>
      </c>
      <c r="C25" s="20">
        <v>0.2</v>
      </c>
    </row>
  </sheetData>
  <mergeCells count="1">
    <mergeCell ref="A8:C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M29" sqref="M29"/>
    </sheetView>
  </sheetViews>
  <sheetFormatPr defaultRowHeight="14.4"/>
  <sheetData>
    <row r="2" spans="1:8">
      <c r="A2" s="20" t="s">
        <v>196</v>
      </c>
      <c r="B2" s="20"/>
      <c r="D2" s="20" t="s">
        <v>201</v>
      </c>
      <c r="E2" s="20"/>
      <c r="G2" s="20" t="s">
        <v>206</v>
      </c>
      <c r="H2" s="20"/>
    </row>
    <row r="3" spans="1:8">
      <c r="A3" s="20" t="s">
        <v>197</v>
      </c>
      <c r="B3" s="20" t="s">
        <v>199</v>
      </c>
      <c r="D3" s="20" t="s">
        <v>197</v>
      </c>
      <c r="E3" s="20" t="s">
        <v>202</v>
      </c>
      <c r="G3" s="20" t="s">
        <v>197</v>
      </c>
      <c r="H3" s="20" t="s">
        <v>204</v>
      </c>
    </row>
    <row r="4" spans="1:8">
      <c r="A4" s="20" t="s">
        <v>198</v>
      </c>
      <c r="B4" s="20" t="s">
        <v>200</v>
      </c>
      <c r="D4" s="20" t="s">
        <v>198</v>
      </c>
      <c r="E4" s="20" t="s">
        <v>203</v>
      </c>
      <c r="G4" s="20" t="s">
        <v>198</v>
      </c>
      <c r="H4" s="20" t="s">
        <v>205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K11" sqref="K11"/>
    </sheetView>
  </sheetViews>
  <sheetFormatPr defaultRowHeight="14.4"/>
  <sheetData>
    <row r="1" spans="1:19">
      <c r="A1" s="23" t="s">
        <v>221</v>
      </c>
    </row>
    <row r="2" spans="1:19">
      <c r="A2" s="23" t="s">
        <v>222</v>
      </c>
    </row>
    <row r="3" spans="1:19">
      <c r="A3" s="23" t="s">
        <v>331</v>
      </c>
    </row>
    <row r="4" spans="1:19">
      <c r="A4" s="23" t="s">
        <v>332</v>
      </c>
    </row>
    <row r="6" spans="1:19">
      <c r="A6" t="s">
        <v>206</v>
      </c>
    </row>
    <row r="7" spans="1:19">
      <c r="A7" s="20"/>
      <c r="B7" s="20" t="s">
        <v>335</v>
      </c>
      <c r="C7" s="20" t="s">
        <v>333</v>
      </c>
      <c r="D7" s="20" t="s">
        <v>336</v>
      </c>
      <c r="E7" s="20" t="s">
        <v>334</v>
      </c>
      <c r="H7" t="s">
        <v>196</v>
      </c>
      <c r="O7" t="s">
        <v>201</v>
      </c>
    </row>
    <row r="8" spans="1:19">
      <c r="A8" s="20" t="s">
        <v>207</v>
      </c>
      <c r="B8" s="20">
        <v>0.41399999999999998</v>
      </c>
      <c r="C8" s="20">
        <f>(0.8-B8)*50/B8</f>
        <v>46.618357487922715</v>
      </c>
      <c r="D8" s="20">
        <v>0.41499999999999998</v>
      </c>
      <c r="E8" s="20">
        <f>(0.8-D8)*50/D8</f>
        <v>46.385542168674711</v>
      </c>
      <c r="H8" s="20"/>
      <c r="I8" s="20" t="s">
        <v>335</v>
      </c>
      <c r="J8" s="20" t="s">
        <v>333</v>
      </c>
      <c r="K8" s="20" t="s">
        <v>336</v>
      </c>
      <c r="L8" s="20" t="s">
        <v>334</v>
      </c>
      <c r="O8" s="20"/>
      <c r="P8" s="20" t="s">
        <v>335</v>
      </c>
      <c r="Q8" s="20" t="s">
        <v>333</v>
      </c>
      <c r="R8" s="20" t="s">
        <v>336</v>
      </c>
      <c r="S8" s="20" t="s">
        <v>334</v>
      </c>
    </row>
    <row r="9" spans="1:19">
      <c r="A9" s="24" t="s">
        <v>91</v>
      </c>
      <c r="B9" s="20">
        <v>0.34300000000000003</v>
      </c>
      <c r="C9" s="20">
        <f>(0.8-B9)*50/B9</f>
        <v>66.618075801749271</v>
      </c>
      <c r="D9" s="20">
        <v>0.34300000000000003</v>
      </c>
      <c r="E9" s="20">
        <f t="shared" ref="E9:E24" si="0">(0.8-D9)*50/D9</f>
        <v>66.618075801749271</v>
      </c>
      <c r="H9" s="20" t="s">
        <v>207</v>
      </c>
      <c r="I9" s="20">
        <v>0.41499999999999998</v>
      </c>
      <c r="J9" s="20">
        <f>(0.8-I9)*50/I9</f>
        <v>46.385542168674711</v>
      </c>
      <c r="K9" s="20">
        <v>0.41699999999999998</v>
      </c>
      <c r="L9" s="20">
        <f>(0.8-K9)*50/K9</f>
        <v>45.923261390887298</v>
      </c>
      <c r="O9" s="20" t="s">
        <v>207</v>
      </c>
      <c r="P9" s="20">
        <v>0.41399999999999998</v>
      </c>
      <c r="Q9" s="20">
        <f>(0.8-P9)*50/P9</f>
        <v>46.618357487922715</v>
      </c>
      <c r="R9" s="20">
        <v>0.41199999999999998</v>
      </c>
      <c r="S9" s="20">
        <f>(0.8-R9)*50/R9</f>
        <v>47.087378640776706</v>
      </c>
    </row>
    <row r="10" spans="1:19">
      <c r="A10" s="24" t="s">
        <v>92</v>
      </c>
      <c r="B10" s="20">
        <v>0.35299999999999998</v>
      </c>
      <c r="C10" s="20">
        <f t="shared" ref="C10:C24" si="1">(0.8-B10)*50/B10</f>
        <v>63.314447592067999</v>
      </c>
      <c r="D10" s="20">
        <v>0.35399999999999998</v>
      </c>
      <c r="E10" s="20">
        <f t="shared" si="0"/>
        <v>62.99435028248589</v>
      </c>
    </row>
    <row r="11" spans="1:19">
      <c r="A11" s="24" t="s">
        <v>208</v>
      </c>
      <c r="B11" s="20">
        <v>0.36199999999999999</v>
      </c>
      <c r="C11" s="20">
        <f t="shared" si="1"/>
        <v>60.497237569060779</v>
      </c>
      <c r="D11" s="20">
        <v>0.36399999999999999</v>
      </c>
      <c r="E11" s="20">
        <f t="shared" si="0"/>
        <v>59.890109890109905</v>
      </c>
    </row>
    <row r="12" spans="1:19">
      <c r="A12" s="24" t="s">
        <v>94</v>
      </c>
      <c r="B12" s="20">
        <v>0.373</v>
      </c>
      <c r="C12" s="20">
        <f t="shared" si="1"/>
        <v>57.238605898123332</v>
      </c>
      <c r="D12" s="20">
        <v>0.374</v>
      </c>
      <c r="E12" s="20">
        <f t="shared" si="0"/>
        <v>56.951871657754012</v>
      </c>
    </row>
    <row r="13" spans="1:19">
      <c r="A13" s="24" t="s">
        <v>209</v>
      </c>
      <c r="B13" s="20">
        <v>0.38200000000000001</v>
      </c>
      <c r="C13" s="20">
        <f t="shared" si="1"/>
        <v>54.712041884816756</v>
      </c>
      <c r="D13" s="20">
        <v>0.38400000000000001</v>
      </c>
      <c r="E13" s="20">
        <f t="shared" si="0"/>
        <v>54.166666666666664</v>
      </c>
    </row>
    <row r="14" spans="1:19">
      <c r="A14" s="24" t="s">
        <v>96</v>
      </c>
      <c r="B14" s="20">
        <v>0.38900000000000001</v>
      </c>
      <c r="C14" s="20">
        <f t="shared" si="1"/>
        <v>52.827763496143959</v>
      </c>
      <c r="D14" s="20">
        <v>0.39</v>
      </c>
      <c r="E14" s="20">
        <f t="shared" si="0"/>
        <v>52.564102564102562</v>
      </c>
    </row>
    <row r="15" spans="1:19">
      <c r="A15" s="69" t="s">
        <v>97</v>
      </c>
      <c r="B15" s="57">
        <v>0.39800000000000002</v>
      </c>
      <c r="C15" s="57">
        <f t="shared" si="1"/>
        <v>50.502512562814069</v>
      </c>
      <c r="D15" s="57">
        <v>0.39900000000000002</v>
      </c>
      <c r="E15" s="57">
        <f t="shared" si="0"/>
        <v>50.250626566416038</v>
      </c>
    </row>
    <row r="16" spans="1:19">
      <c r="A16" s="24" t="s">
        <v>98</v>
      </c>
      <c r="B16" s="20">
        <v>0.40699999999999997</v>
      </c>
      <c r="C16" s="20">
        <f t="shared" si="1"/>
        <v>48.280098280098287</v>
      </c>
      <c r="D16" s="20">
        <v>0.40799999999999997</v>
      </c>
      <c r="E16" s="20">
        <f t="shared" si="0"/>
        <v>48.039215686274524</v>
      </c>
    </row>
    <row r="17" spans="1:5">
      <c r="A17" s="24" t="s">
        <v>99</v>
      </c>
      <c r="B17" s="20">
        <v>0.41399999999999998</v>
      </c>
      <c r="C17" s="20">
        <f t="shared" si="1"/>
        <v>46.618357487922715</v>
      </c>
      <c r="D17" s="20">
        <v>0.41499999999999998</v>
      </c>
      <c r="E17" s="20">
        <f t="shared" si="0"/>
        <v>46.385542168674711</v>
      </c>
    </row>
    <row r="18" spans="1:5">
      <c r="A18" s="24" t="s">
        <v>210</v>
      </c>
      <c r="B18" s="20">
        <v>0.42</v>
      </c>
      <c r="C18" s="20">
        <f t="shared" si="1"/>
        <v>45.238095238095248</v>
      </c>
      <c r="D18" s="20">
        <v>0.42099999999999999</v>
      </c>
      <c r="E18" s="20">
        <f t="shared" si="0"/>
        <v>45.011876484560581</v>
      </c>
    </row>
    <row r="19" spans="1:5">
      <c r="A19" s="24" t="s">
        <v>211</v>
      </c>
      <c r="B19" s="20">
        <v>0.42499999999999999</v>
      </c>
      <c r="C19" s="20">
        <f t="shared" si="1"/>
        <v>44.117647058823536</v>
      </c>
      <c r="D19" s="20">
        <v>0.42599999999999999</v>
      </c>
      <c r="E19" s="20">
        <f t="shared" si="0"/>
        <v>43.896713615023479</v>
      </c>
    </row>
    <row r="20" spans="1:5">
      <c r="A20" s="24" t="s">
        <v>102</v>
      </c>
      <c r="B20" s="20">
        <v>0.432</v>
      </c>
      <c r="C20" s="20">
        <f t="shared" si="1"/>
        <v>42.592592592592595</v>
      </c>
      <c r="D20" s="20">
        <v>0.434</v>
      </c>
      <c r="E20" s="20">
        <f t="shared" si="0"/>
        <v>42.165898617511523</v>
      </c>
    </row>
    <row r="21" spans="1:5">
      <c r="A21" s="24" t="s">
        <v>103</v>
      </c>
      <c r="B21" s="20">
        <v>0.437</v>
      </c>
      <c r="C21" s="20">
        <f t="shared" si="1"/>
        <v>41.53318077803204</v>
      </c>
      <c r="D21" s="20">
        <v>0.438</v>
      </c>
      <c r="E21" s="20">
        <f t="shared" si="0"/>
        <v>41.324200913242009</v>
      </c>
    </row>
    <row r="22" spans="1:5">
      <c r="A22" s="24" t="s">
        <v>212</v>
      </c>
      <c r="B22" s="20">
        <v>0.443</v>
      </c>
      <c r="C22" s="20">
        <f t="shared" si="1"/>
        <v>40.293453724604966</v>
      </c>
      <c r="D22" s="20">
        <v>0.44400000000000001</v>
      </c>
      <c r="E22" s="20">
        <f t="shared" si="0"/>
        <v>40.090090090090094</v>
      </c>
    </row>
    <row r="23" spans="1:5">
      <c r="A23" s="24" t="s">
        <v>105</v>
      </c>
      <c r="B23" s="20">
        <v>0.44800000000000001</v>
      </c>
      <c r="C23" s="20">
        <f t="shared" si="1"/>
        <v>39.285714285714285</v>
      </c>
      <c r="D23" s="20">
        <v>0.44900000000000001</v>
      </c>
      <c r="E23" s="20">
        <f t="shared" si="0"/>
        <v>39.086859688195993</v>
      </c>
    </row>
    <row r="24" spans="1:5">
      <c r="A24" s="24" t="s">
        <v>213</v>
      </c>
      <c r="B24" s="20">
        <v>0.45600000000000002</v>
      </c>
      <c r="C24" s="20">
        <f t="shared" si="1"/>
        <v>37.719298245614041</v>
      </c>
      <c r="D24" s="20">
        <v>0.45700000000000002</v>
      </c>
      <c r="E24" s="20">
        <f t="shared" si="0"/>
        <v>37.527352297592998</v>
      </c>
    </row>
    <row r="25" spans="1:5">
      <c r="A25" s="22"/>
    </row>
    <row r="26" spans="1:5">
      <c r="A26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B22" sqref="B22"/>
    </sheetView>
  </sheetViews>
  <sheetFormatPr defaultRowHeight="14.4"/>
  <cols>
    <col min="1" max="1" width="13.6640625" customWidth="1"/>
    <col min="2" max="2" width="10.44140625" customWidth="1"/>
  </cols>
  <sheetData>
    <row r="1" spans="1:7">
      <c r="A1" s="23" t="s">
        <v>307</v>
      </c>
    </row>
    <row r="2" spans="1:7">
      <c r="A2" t="s">
        <v>308</v>
      </c>
    </row>
    <row r="4" spans="1:7">
      <c r="A4" t="s">
        <v>309</v>
      </c>
    </row>
    <row r="5" spans="1:7">
      <c r="A5" t="s">
        <v>310</v>
      </c>
    </row>
    <row r="6" spans="1:7">
      <c r="A6" t="s">
        <v>311</v>
      </c>
    </row>
    <row r="7" spans="1:7">
      <c r="A7" t="s">
        <v>312</v>
      </c>
    </row>
    <row r="9" spans="1:7">
      <c r="A9" t="s">
        <v>196</v>
      </c>
    </row>
    <row r="10" spans="1:7" ht="30" customHeight="1">
      <c r="A10" s="20"/>
      <c r="B10" s="56" t="s">
        <v>319</v>
      </c>
      <c r="C10" s="20" t="s">
        <v>320</v>
      </c>
      <c r="D10" s="20" t="s">
        <v>321</v>
      </c>
      <c r="E10" s="20" t="s">
        <v>322</v>
      </c>
      <c r="F10" s="20" t="s">
        <v>323</v>
      </c>
      <c r="G10" s="20" t="s">
        <v>324</v>
      </c>
    </row>
    <row r="11" spans="1:7">
      <c r="A11" s="86" t="s">
        <v>313</v>
      </c>
      <c r="B11" s="24" t="s">
        <v>314</v>
      </c>
      <c r="C11" s="20">
        <v>0.28799999999999998</v>
      </c>
      <c r="D11" s="20">
        <v>0.28799999999999998</v>
      </c>
      <c r="E11" s="20">
        <v>0.28799999999999998</v>
      </c>
      <c r="F11" s="20">
        <v>0.28799999999999998</v>
      </c>
      <c r="G11" s="20">
        <v>0.28799999999999998</v>
      </c>
    </row>
    <row r="12" spans="1:7">
      <c r="A12" s="86"/>
      <c r="B12" s="24" t="s">
        <v>315</v>
      </c>
      <c r="C12" s="20">
        <v>0.28799999999999998</v>
      </c>
      <c r="D12" s="20">
        <v>0.28799999999999998</v>
      </c>
      <c r="E12" s="21">
        <v>0.27600000000000002</v>
      </c>
      <c r="F12" s="21">
        <v>0.28799999999999998</v>
      </c>
      <c r="G12" s="21">
        <v>0.28799999999999998</v>
      </c>
    </row>
    <row r="13" spans="1:7">
      <c r="A13" s="86"/>
      <c r="B13" s="24" t="s">
        <v>316</v>
      </c>
      <c r="C13" s="20">
        <v>0.28799999999999998</v>
      </c>
      <c r="D13" s="20">
        <v>0.28799999999999998</v>
      </c>
      <c r="E13" s="20">
        <v>0.28799999999999998</v>
      </c>
      <c r="F13" s="20">
        <v>0.28799999999999998</v>
      </c>
      <c r="G13" s="20">
        <v>0.28799999999999998</v>
      </c>
    </row>
    <row r="14" spans="1:7" ht="15" thickBot="1">
      <c r="A14" s="87"/>
      <c r="B14" s="59" t="s">
        <v>317</v>
      </c>
      <c r="C14" s="60">
        <v>0.28799999999999998</v>
      </c>
      <c r="D14" s="60">
        <v>0.28799999999999998</v>
      </c>
      <c r="E14" s="70">
        <v>0.27600000000000002</v>
      </c>
      <c r="F14" s="70">
        <v>0.27600000000000002</v>
      </c>
      <c r="G14" s="70">
        <v>0.28799999999999998</v>
      </c>
    </row>
    <row r="15" spans="1:7">
      <c r="A15" s="88" t="s">
        <v>318</v>
      </c>
      <c r="B15" s="58" t="s">
        <v>314</v>
      </c>
      <c r="C15" s="25">
        <v>0.28799999999999998</v>
      </c>
      <c r="D15" s="25">
        <v>0.28799999999999998</v>
      </c>
      <c r="E15" s="25">
        <v>0.28799999999999998</v>
      </c>
      <c r="F15" s="25">
        <v>0.28799999999999998</v>
      </c>
      <c r="G15" s="25">
        <v>0.28799999999999998</v>
      </c>
    </row>
    <row r="16" spans="1:7">
      <c r="A16" s="86"/>
      <c r="B16" s="24" t="s">
        <v>315</v>
      </c>
      <c r="C16" s="20">
        <v>0.28799999999999998</v>
      </c>
      <c r="D16" s="20">
        <v>0.28799999999999998</v>
      </c>
      <c r="E16" s="21">
        <v>0.26400000000000001</v>
      </c>
      <c r="F16" s="21">
        <v>0.26400000000000001</v>
      </c>
      <c r="G16" s="21">
        <v>0.26400000000000001</v>
      </c>
    </row>
    <row r="17" spans="1:7">
      <c r="A17" s="86"/>
      <c r="B17" s="24" t="s">
        <v>316</v>
      </c>
      <c r="C17" s="20">
        <v>0.28799999999999998</v>
      </c>
      <c r="D17" s="20">
        <v>0.28799999999999998</v>
      </c>
      <c r="E17" s="20">
        <v>0.28799999999999998</v>
      </c>
      <c r="F17" s="20">
        <v>0.28799999999999998</v>
      </c>
      <c r="G17" s="20">
        <v>0.28799999999999998</v>
      </c>
    </row>
    <row r="18" spans="1:7">
      <c r="A18" s="86"/>
      <c r="B18" s="24" t="s">
        <v>317</v>
      </c>
      <c r="C18" s="20">
        <v>0.28799999999999998</v>
      </c>
      <c r="D18" s="20">
        <v>0.28799999999999998</v>
      </c>
      <c r="E18" s="21">
        <v>0.252</v>
      </c>
      <c r="F18" s="21">
        <v>0.252</v>
      </c>
      <c r="G18" s="21">
        <v>0.252</v>
      </c>
    </row>
    <row r="19" spans="1:7">
      <c r="B19" s="22"/>
    </row>
    <row r="20" spans="1:7">
      <c r="B20" s="22"/>
    </row>
    <row r="21" spans="1:7">
      <c r="B21" s="22"/>
    </row>
    <row r="22" spans="1:7">
      <c r="B22" s="22"/>
    </row>
  </sheetData>
  <mergeCells count="2">
    <mergeCell ref="A11:A14"/>
    <mergeCell ref="A15:A1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30"/>
  <sheetViews>
    <sheetView zoomScale="40" zoomScaleNormal="40" workbookViewId="0">
      <selection activeCell="W42" sqref="W42"/>
    </sheetView>
  </sheetViews>
  <sheetFormatPr defaultRowHeight="14.4"/>
  <cols>
    <col min="3" max="3" width="28.109375" customWidth="1"/>
    <col min="5" max="5" width="37.33203125" customWidth="1"/>
    <col min="6" max="6" width="18.44140625" customWidth="1"/>
    <col min="7" max="7" width="19.88671875" customWidth="1"/>
    <col min="8" max="8" width="20.109375" customWidth="1"/>
    <col min="10" max="10" width="9" style="1"/>
    <col min="15" max="15" width="34.6640625" customWidth="1"/>
    <col min="16" max="16" width="23.88671875" customWidth="1"/>
    <col min="17" max="17" width="14.21875" customWidth="1"/>
    <col min="18" max="18" width="19.44140625" customWidth="1"/>
    <col min="20" max="20" width="9" style="1"/>
    <col min="25" max="25" width="38.21875" customWidth="1"/>
    <col min="26" max="26" width="14" customWidth="1"/>
    <col min="27" max="27" width="10.77734375" customWidth="1"/>
    <col min="28" max="28" width="18.6640625" customWidth="1"/>
  </cols>
  <sheetData>
    <row r="2" spans="1:28">
      <c r="A2" t="s">
        <v>196</v>
      </c>
      <c r="K2" t="s">
        <v>201</v>
      </c>
      <c r="U2" t="s">
        <v>206</v>
      </c>
    </row>
    <row r="3" spans="1:28" ht="22.8">
      <c r="B3" s="50" t="s">
        <v>232</v>
      </c>
      <c r="L3" s="50" t="s">
        <v>232</v>
      </c>
      <c r="V3" s="50" t="s">
        <v>232</v>
      </c>
    </row>
    <row r="5" spans="1:28" ht="14.25" customHeight="1">
      <c r="B5" s="89" t="s">
        <v>233</v>
      </c>
      <c r="C5" s="90"/>
      <c r="L5" s="89" t="s">
        <v>233</v>
      </c>
      <c r="M5" s="90"/>
      <c r="V5" s="89" t="s">
        <v>233</v>
      </c>
      <c r="W5" s="90"/>
    </row>
    <row r="6" spans="1:28">
      <c r="B6" s="51" t="s">
        <v>234</v>
      </c>
      <c r="C6" s="51" t="s">
        <v>235</v>
      </c>
      <c r="L6" s="51" t="s">
        <v>234</v>
      </c>
      <c r="M6" s="51" t="s">
        <v>235</v>
      </c>
      <c r="V6" s="51" t="s">
        <v>234</v>
      </c>
      <c r="W6" s="51" t="s">
        <v>235</v>
      </c>
    </row>
    <row r="7" spans="1:28">
      <c r="B7" s="51" t="s">
        <v>236</v>
      </c>
      <c r="C7" s="51" t="s">
        <v>237</v>
      </c>
      <c r="L7" s="51" t="s">
        <v>236</v>
      </c>
      <c r="M7" s="51" t="s">
        <v>237</v>
      </c>
      <c r="V7" s="51" t="s">
        <v>236</v>
      </c>
      <c r="W7" s="51" t="s">
        <v>237</v>
      </c>
    </row>
    <row r="8" spans="1:28" ht="15">
      <c r="B8" s="52"/>
      <c r="L8" s="52"/>
      <c r="V8" s="52"/>
    </row>
    <row r="9" spans="1:28" ht="30" customHeight="1">
      <c r="B9" s="53" t="s">
        <v>121</v>
      </c>
      <c r="C9" s="53" t="s">
        <v>238</v>
      </c>
      <c r="D9" s="53" t="s">
        <v>239</v>
      </c>
      <c r="E9" s="53" t="s">
        <v>240</v>
      </c>
      <c r="F9" s="53" t="s">
        <v>241</v>
      </c>
      <c r="G9" s="53" t="s">
        <v>242</v>
      </c>
      <c r="H9" s="53" t="s">
        <v>243</v>
      </c>
      <c r="L9" s="53" t="s">
        <v>121</v>
      </c>
      <c r="M9" s="53" t="s">
        <v>238</v>
      </c>
      <c r="N9" s="53" t="s">
        <v>239</v>
      </c>
      <c r="O9" s="53" t="s">
        <v>240</v>
      </c>
      <c r="P9" s="53" t="s">
        <v>241</v>
      </c>
      <c r="Q9" s="53" t="s">
        <v>242</v>
      </c>
      <c r="R9" s="53" t="s">
        <v>243</v>
      </c>
      <c r="V9" s="53" t="s">
        <v>121</v>
      </c>
      <c r="W9" s="53" t="s">
        <v>238</v>
      </c>
      <c r="X9" s="53" t="s">
        <v>239</v>
      </c>
      <c r="Y9" s="53" t="s">
        <v>240</v>
      </c>
      <c r="Z9" s="53" t="s">
        <v>241</v>
      </c>
      <c r="AA9" s="53" t="s">
        <v>242</v>
      </c>
      <c r="AB9" s="53" t="s">
        <v>243</v>
      </c>
    </row>
    <row r="10" spans="1:28" ht="57.75" customHeight="1">
      <c r="B10" s="51"/>
      <c r="C10" s="51">
        <v>0</v>
      </c>
      <c r="D10" s="51">
        <v>1</v>
      </c>
      <c r="E10" s="54" t="s">
        <v>244</v>
      </c>
      <c r="F10" s="51" t="s">
        <v>121</v>
      </c>
      <c r="G10" s="55">
        <v>1</v>
      </c>
      <c r="H10" s="51" t="s">
        <v>245</v>
      </c>
      <c r="L10" s="51"/>
      <c r="M10" s="51">
        <v>0</v>
      </c>
      <c r="N10" s="51">
        <v>1</v>
      </c>
      <c r="O10" s="54" t="s">
        <v>281</v>
      </c>
      <c r="P10" s="51" t="s">
        <v>121</v>
      </c>
      <c r="Q10" s="55">
        <v>1</v>
      </c>
      <c r="R10" s="51" t="s">
        <v>245</v>
      </c>
      <c r="V10" s="51"/>
      <c r="W10" s="51">
        <v>0</v>
      </c>
      <c r="X10" s="51">
        <v>1</v>
      </c>
      <c r="Y10" s="54" t="s">
        <v>244</v>
      </c>
      <c r="Z10" s="51" t="s">
        <v>121</v>
      </c>
      <c r="AA10" s="55">
        <v>1</v>
      </c>
      <c r="AB10" s="51" t="s">
        <v>245</v>
      </c>
    </row>
    <row r="11" spans="1:28" ht="54" customHeight="1">
      <c r="B11" s="51"/>
      <c r="C11" s="51">
        <v>0</v>
      </c>
      <c r="D11" s="51">
        <v>1</v>
      </c>
      <c r="E11" s="54" t="s">
        <v>246</v>
      </c>
      <c r="F11" s="51" t="s">
        <v>121</v>
      </c>
      <c r="G11" s="55">
        <v>1</v>
      </c>
      <c r="H11" s="51" t="s">
        <v>245</v>
      </c>
      <c r="L11" s="51"/>
      <c r="M11" s="51">
        <v>0</v>
      </c>
      <c r="N11" s="51">
        <v>1</v>
      </c>
      <c r="O11" s="54" t="s">
        <v>282</v>
      </c>
      <c r="P11" s="51" t="s">
        <v>288</v>
      </c>
      <c r="Q11" s="55">
        <v>0.114</v>
      </c>
      <c r="R11" s="51" t="s">
        <v>284</v>
      </c>
      <c r="V11" s="51"/>
      <c r="W11" s="51">
        <v>0</v>
      </c>
      <c r="X11" s="51">
        <v>1</v>
      </c>
      <c r="Y11" s="54" t="s">
        <v>246</v>
      </c>
      <c r="Z11" s="51" t="s">
        <v>121</v>
      </c>
      <c r="AA11" s="55">
        <v>1</v>
      </c>
      <c r="AB11" s="51" t="s">
        <v>245</v>
      </c>
    </row>
    <row r="12" spans="1:28" ht="54" customHeight="1">
      <c r="B12" s="51"/>
      <c r="C12" s="51">
        <v>0</v>
      </c>
      <c r="D12" s="51">
        <v>1</v>
      </c>
      <c r="E12" s="54" t="s">
        <v>247</v>
      </c>
      <c r="F12" s="51" t="s">
        <v>121</v>
      </c>
      <c r="G12" s="55">
        <v>1</v>
      </c>
      <c r="H12" s="51" t="s">
        <v>245</v>
      </c>
      <c r="L12" s="51"/>
      <c r="M12" s="51">
        <v>0</v>
      </c>
      <c r="N12" s="51">
        <v>1</v>
      </c>
      <c r="O12" s="54" t="s">
        <v>285</v>
      </c>
      <c r="P12" s="51" t="s">
        <v>289</v>
      </c>
      <c r="Q12" s="55">
        <v>0.42399999999999999</v>
      </c>
      <c r="R12" s="51" t="s">
        <v>287</v>
      </c>
      <c r="V12" s="51"/>
      <c r="W12" s="51">
        <v>0</v>
      </c>
      <c r="X12" s="51">
        <v>1</v>
      </c>
      <c r="Y12" s="54" t="s">
        <v>247</v>
      </c>
      <c r="Z12" s="51" t="s">
        <v>121</v>
      </c>
      <c r="AA12" s="55">
        <v>1</v>
      </c>
      <c r="AB12" s="51" t="s">
        <v>245</v>
      </c>
    </row>
    <row r="13" spans="1:28" ht="49.5" customHeight="1">
      <c r="B13" s="51"/>
      <c r="C13" s="51">
        <v>0</v>
      </c>
      <c r="D13" s="51">
        <v>1</v>
      </c>
      <c r="E13" s="54" t="s">
        <v>248</v>
      </c>
      <c r="F13" s="51" t="s">
        <v>121</v>
      </c>
      <c r="G13" s="55">
        <v>1</v>
      </c>
      <c r="H13" s="51" t="s">
        <v>245</v>
      </c>
      <c r="L13" s="51"/>
      <c r="M13" s="51">
        <v>0</v>
      </c>
      <c r="N13" s="51">
        <v>1</v>
      </c>
      <c r="O13" s="54" t="s">
        <v>278</v>
      </c>
      <c r="P13" s="51" t="s">
        <v>121</v>
      </c>
      <c r="Q13" s="55">
        <v>1</v>
      </c>
      <c r="R13" s="51" t="s">
        <v>245</v>
      </c>
      <c r="V13" s="51"/>
      <c r="W13" s="51">
        <v>0</v>
      </c>
      <c r="X13" s="51">
        <v>1</v>
      </c>
      <c r="Y13" s="54" t="s">
        <v>248</v>
      </c>
      <c r="Z13" s="51" t="s">
        <v>121</v>
      </c>
      <c r="AA13" s="55">
        <v>1</v>
      </c>
      <c r="AB13" s="51" t="s">
        <v>245</v>
      </c>
    </row>
    <row r="14" spans="1:28" ht="54.75" customHeight="1">
      <c r="B14" s="51"/>
      <c r="C14" s="51">
        <v>0</v>
      </c>
      <c r="D14" s="51">
        <v>1</v>
      </c>
      <c r="E14" s="54" t="s">
        <v>249</v>
      </c>
      <c r="F14" s="51" t="s">
        <v>250</v>
      </c>
      <c r="G14" s="55">
        <v>0.49399999999999999</v>
      </c>
      <c r="H14" s="51" t="s">
        <v>251</v>
      </c>
      <c r="L14" s="51"/>
      <c r="M14" s="51">
        <v>0</v>
      </c>
      <c r="N14" s="51">
        <v>1</v>
      </c>
      <c r="O14" s="54" t="s">
        <v>279</v>
      </c>
      <c r="P14" s="51" t="s">
        <v>121</v>
      </c>
      <c r="Q14" s="55">
        <v>1</v>
      </c>
      <c r="R14" s="51" t="s">
        <v>245</v>
      </c>
      <c r="V14" s="51"/>
      <c r="W14" s="51">
        <v>0</v>
      </c>
      <c r="X14" s="51">
        <v>1</v>
      </c>
      <c r="Y14" s="54" t="s">
        <v>249</v>
      </c>
      <c r="Z14" s="51" t="s">
        <v>297</v>
      </c>
      <c r="AA14" s="55">
        <v>0.495</v>
      </c>
      <c r="AB14" s="51" t="s">
        <v>251</v>
      </c>
    </row>
    <row r="15" spans="1:28" ht="56.25" customHeight="1">
      <c r="B15" s="51"/>
      <c r="C15" s="51">
        <v>0</v>
      </c>
      <c r="D15" s="51">
        <v>1</v>
      </c>
      <c r="E15" s="54" t="s">
        <v>252</v>
      </c>
      <c r="F15" s="51" t="s">
        <v>253</v>
      </c>
      <c r="G15" s="55">
        <v>0.35899999999999999</v>
      </c>
      <c r="H15" s="51" t="s">
        <v>254</v>
      </c>
      <c r="L15" s="51"/>
      <c r="M15" s="51">
        <v>0</v>
      </c>
      <c r="N15" s="51">
        <v>1</v>
      </c>
      <c r="O15" s="54" t="s">
        <v>280</v>
      </c>
      <c r="P15" s="51" t="s">
        <v>121</v>
      </c>
      <c r="Q15" s="55">
        <v>1</v>
      </c>
      <c r="R15" s="51" t="s">
        <v>245</v>
      </c>
      <c r="V15" s="51"/>
      <c r="W15" s="51">
        <v>0</v>
      </c>
      <c r="X15" s="51">
        <v>1</v>
      </c>
      <c r="Y15" s="54" t="s">
        <v>252</v>
      </c>
      <c r="Z15" s="51" t="s">
        <v>298</v>
      </c>
      <c r="AA15" s="55">
        <v>0.39600000000000002</v>
      </c>
      <c r="AB15" s="51" t="s">
        <v>254</v>
      </c>
    </row>
    <row r="16" spans="1:28" ht="82.5" customHeight="1">
      <c r="B16" s="51"/>
      <c r="C16" s="51">
        <v>0</v>
      </c>
      <c r="D16" s="51">
        <v>1</v>
      </c>
      <c r="E16" s="54" t="s">
        <v>255</v>
      </c>
      <c r="F16" s="51" t="s">
        <v>256</v>
      </c>
      <c r="G16" s="55">
        <v>0.28100000000000003</v>
      </c>
      <c r="H16" s="51" t="s">
        <v>257</v>
      </c>
      <c r="L16" s="51"/>
      <c r="M16" s="51">
        <v>0</v>
      </c>
      <c r="N16" s="51">
        <v>1</v>
      </c>
      <c r="O16" s="54" t="s">
        <v>260</v>
      </c>
      <c r="P16" s="51" t="s">
        <v>290</v>
      </c>
      <c r="Q16" s="55">
        <v>0</v>
      </c>
      <c r="R16" s="51" t="s">
        <v>262</v>
      </c>
      <c r="V16" s="51"/>
      <c r="W16" s="51">
        <v>0</v>
      </c>
      <c r="X16" s="51">
        <v>1</v>
      </c>
      <c r="Y16" s="54" t="s">
        <v>255</v>
      </c>
      <c r="Z16" s="51" t="s">
        <v>299</v>
      </c>
      <c r="AA16" s="55">
        <v>0.32</v>
      </c>
      <c r="AB16" s="51" t="s">
        <v>257</v>
      </c>
    </row>
    <row r="17" spans="2:28" ht="77.25" customHeight="1">
      <c r="B17" s="51"/>
      <c r="C17" s="51">
        <v>0</v>
      </c>
      <c r="D17" s="51">
        <v>1</v>
      </c>
      <c r="E17" s="54" t="s">
        <v>258</v>
      </c>
      <c r="F17" s="51" t="s">
        <v>259</v>
      </c>
      <c r="G17" s="55">
        <v>0.35299999999999998</v>
      </c>
      <c r="H17" s="51" t="s">
        <v>257</v>
      </c>
      <c r="L17" s="51"/>
      <c r="M17" s="51">
        <v>0</v>
      </c>
      <c r="N17" s="51">
        <v>1</v>
      </c>
      <c r="O17" s="54" t="s">
        <v>263</v>
      </c>
      <c r="P17" s="51" t="s">
        <v>264</v>
      </c>
      <c r="Q17" s="55">
        <v>0.16700000000000001</v>
      </c>
      <c r="R17" s="51" t="s">
        <v>265</v>
      </c>
      <c r="V17" s="51"/>
      <c r="W17" s="51">
        <v>0</v>
      </c>
      <c r="X17" s="51">
        <v>1</v>
      </c>
      <c r="Y17" s="54" t="s">
        <v>258</v>
      </c>
      <c r="Z17" s="51" t="s">
        <v>300</v>
      </c>
      <c r="AA17" s="55">
        <v>0.38800000000000001</v>
      </c>
      <c r="AB17" s="51" t="s">
        <v>257</v>
      </c>
    </row>
    <row r="18" spans="2:28" ht="85.5" customHeight="1">
      <c r="B18" s="51"/>
      <c r="C18" s="51">
        <v>0</v>
      </c>
      <c r="D18" s="51">
        <v>1</v>
      </c>
      <c r="E18" s="54" t="s">
        <v>260</v>
      </c>
      <c r="F18" s="51" t="s">
        <v>261</v>
      </c>
      <c r="G18" s="55">
        <v>0</v>
      </c>
      <c r="H18" s="51" t="s">
        <v>262</v>
      </c>
      <c r="L18" s="51"/>
      <c r="M18" s="51">
        <v>0</v>
      </c>
      <c r="N18" s="51">
        <v>1</v>
      </c>
      <c r="O18" s="54" t="s">
        <v>266</v>
      </c>
      <c r="P18" s="51" t="s">
        <v>291</v>
      </c>
      <c r="Q18" s="55">
        <v>5.0000000000000001E-3</v>
      </c>
      <c r="R18" s="51" t="s">
        <v>268</v>
      </c>
      <c r="V18" s="51"/>
      <c r="W18" s="51">
        <v>0</v>
      </c>
      <c r="X18" s="51">
        <v>1</v>
      </c>
      <c r="Y18" s="54" t="s">
        <v>260</v>
      </c>
      <c r="Z18" s="51" t="s">
        <v>301</v>
      </c>
      <c r="AA18" s="55">
        <v>0</v>
      </c>
      <c r="AB18" s="51" t="s">
        <v>262</v>
      </c>
    </row>
    <row r="19" spans="2:28" ht="71.25" customHeight="1">
      <c r="B19" s="51"/>
      <c r="C19" s="51">
        <v>0</v>
      </c>
      <c r="D19" s="51">
        <v>1</v>
      </c>
      <c r="E19" s="54" t="s">
        <v>263</v>
      </c>
      <c r="F19" s="51" t="s">
        <v>264</v>
      </c>
      <c r="G19" s="55">
        <v>0.16700000000000001</v>
      </c>
      <c r="H19" s="51" t="s">
        <v>265</v>
      </c>
      <c r="L19" s="51"/>
      <c r="M19" s="51">
        <v>0</v>
      </c>
      <c r="N19" s="51">
        <v>1</v>
      </c>
      <c r="O19" s="54" t="s">
        <v>269</v>
      </c>
      <c r="P19" s="51" t="s">
        <v>270</v>
      </c>
      <c r="Q19" s="55">
        <v>0.48</v>
      </c>
      <c r="R19" s="51" t="s">
        <v>271</v>
      </c>
      <c r="V19" s="51"/>
      <c r="W19" s="51">
        <v>0</v>
      </c>
      <c r="X19" s="51">
        <v>1</v>
      </c>
      <c r="Y19" s="54" t="s">
        <v>263</v>
      </c>
      <c r="Z19" s="51" t="s">
        <v>264</v>
      </c>
      <c r="AA19" s="55">
        <v>0.16700000000000001</v>
      </c>
      <c r="AB19" s="51" t="s">
        <v>265</v>
      </c>
    </row>
    <row r="20" spans="2:28" ht="121.5" customHeight="1">
      <c r="B20" s="51"/>
      <c r="C20" s="51">
        <v>0</v>
      </c>
      <c r="D20" s="51">
        <v>1</v>
      </c>
      <c r="E20" s="54" t="s">
        <v>266</v>
      </c>
      <c r="F20" s="51" t="s">
        <v>267</v>
      </c>
      <c r="G20" s="55">
        <v>5.0000000000000001E-3</v>
      </c>
      <c r="H20" s="51" t="s">
        <v>268</v>
      </c>
      <c r="L20" s="51"/>
      <c r="M20" s="51">
        <v>0</v>
      </c>
      <c r="N20" s="51">
        <v>1</v>
      </c>
      <c r="O20" s="54" t="s">
        <v>272</v>
      </c>
      <c r="P20" s="51" t="s">
        <v>121</v>
      </c>
      <c r="Q20" s="55">
        <v>1</v>
      </c>
      <c r="R20" s="51" t="s">
        <v>245</v>
      </c>
      <c r="V20" s="51"/>
      <c r="W20" s="51">
        <v>0</v>
      </c>
      <c r="X20" s="51">
        <v>1</v>
      </c>
      <c r="Y20" s="54" t="s">
        <v>266</v>
      </c>
      <c r="Z20" s="51" t="s">
        <v>302</v>
      </c>
      <c r="AA20" s="55">
        <v>5.0000000000000001E-3</v>
      </c>
      <c r="AB20" s="51" t="s">
        <v>268</v>
      </c>
    </row>
    <row r="21" spans="2:28" ht="81" customHeight="1">
      <c r="B21" s="51"/>
      <c r="C21" s="51">
        <v>0</v>
      </c>
      <c r="D21" s="51">
        <v>1</v>
      </c>
      <c r="E21" s="54" t="s">
        <v>269</v>
      </c>
      <c r="F21" s="51" t="s">
        <v>270</v>
      </c>
      <c r="G21" s="55">
        <v>0.48</v>
      </c>
      <c r="H21" s="51" t="s">
        <v>271</v>
      </c>
      <c r="L21" s="51"/>
      <c r="M21" s="51">
        <v>0</v>
      </c>
      <c r="N21" s="51">
        <v>1</v>
      </c>
      <c r="O21" s="54" t="s">
        <v>273</v>
      </c>
      <c r="P21" s="51" t="s">
        <v>274</v>
      </c>
      <c r="Q21" s="55">
        <v>0.16</v>
      </c>
      <c r="R21" s="51" t="s">
        <v>275</v>
      </c>
      <c r="V21" s="51"/>
      <c r="W21" s="51">
        <v>0</v>
      </c>
      <c r="X21" s="51">
        <v>1</v>
      </c>
      <c r="Y21" s="54" t="s">
        <v>269</v>
      </c>
      <c r="Z21" s="51" t="s">
        <v>303</v>
      </c>
      <c r="AA21" s="55">
        <v>0.48799999999999999</v>
      </c>
      <c r="AB21" s="51" t="s">
        <v>271</v>
      </c>
    </row>
    <row r="22" spans="2:28" ht="67.5" customHeight="1">
      <c r="B22" s="51"/>
      <c r="C22" s="51">
        <v>0</v>
      </c>
      <c r="D22" s="51">
        <v>1</v>
      </c>
      <c r="E22" s="54" t="s">
        <v>272</v>
      </c>
      <c r="F22" s="51" t="s">
        <v>121</v>
      </c>
      <c r="G22" s="55">
        <v>1</v>
      </c>
      <c r="H22" s="51" t="s">
        <v>245</v>
      </c>
      <c r="L22" s="51"/>
      <c r="M22" s="51">
        <v>0</v>
      </c>
      <c r="N22" s="51">
        <v>1</v>
      </c>
      <c r="O22" s="54" t="s">
        <v>276</v>
      </c>
      <c r="P22" s="51" t="s">
        <v>292</v>
      </c>
      <c r="Q22" s="55">
        <v>0</v>
      </c>
      <c r="R22" s="51" t="s">
        <v>262</v>
      </c>
      <c r="V22" s="51"/>
      <c r="W22" s="51">
        <v>0</v>
      </c>
      <c r="X22" s="51">
        <v>1</v>
      </c>
      <c r="Y22" s="54" t="s">
        <v>272</v>
      </c>
      <c r="Z22" s="51" t="s">
        <v>121</v>
      </c>
      <c r="AA22" s="55">
        <v>1</v>
      </c>
      <c r="AB22" s="51" t="s">
        <v>245</v>
      </c>
    </row>
    <row r="23" spans="2:28" ht="87.75" customHeight="1">
      <c r="B23" s="51"/>
      <c r="C23" s="51">
        <v>0</v>
      </c>
      <c r="D23" s="51">
        <v>1</v>
      </c>
      <c r="E23" s="54" t="s">
        <v>273</v>
      </c>
      <c r="F23" s="51" t="s">
        <v>274</v>
      </c>
      <c r="G23" s="55">
        <v>0.16</v>
      </c>
      <c r="H23" s="51" t="s">
        <v>275</v>
      </c>
      <c r="L23" s="51"/>
      <c r="M23" s="51">
        <v>0</v>
      </c>
      <c r="N23" s="51">
        <v>1</v>
      </c>
      <c r="O23" s="54" t="s">
        <v>249</v>
      </c>
      <c r="P23" s="51" t="s">
        <v>293</v>
      </c>
      <c r="Q23" s="55">
        <v>0.498</v>
      </c>
      <c r="R23" s="51" t="s">
        <v>251</v>
      </c>
      <c r="V23" s="51"/>
      <c r="W23" s="51">
        <v>0</v>
      </c>
      <c r="X23" s="51">
        <v>1</v>
      </c>
      <c r="Y23" s="54" t="s">
        <v>273</v>
      </c>
      <c r="Z23" s="51" t="s">
        <v>274</v>
      </c>
      <c r="AA23" s="55">
        <v>0.16</v>
      </c>
      <c r="AB23" s="51" t="s">
        <v>275</v>
      </c>
    </row>
    <row r="24" spans="2:28" ht="70.5" customHeight="1">
      <c r="B24" s="51"/>
      <c r="C24" s="51">
        <v>0</v>
      </c>
      <c r="D24" s="51">
        <v>1</v>
      </c>
      <c r="E24" s="54" t="s">
        <v>276</v>
      </c>
      <c r="F24" s="51" t="s">
        <v>277</v>
      </c>
      <c r="G24" s="55">
        <v>0</v>
      </c>
      <c r="H24" s="51" t="s">
        <v>262</v>
      </c>
      <c r="L24" s="51"/>
      <c r="M24" s="51">
        <v>0</v>
      </c>
      <c r="N24" s="51">
        <v>1</v>
      </c>
      <c r="O24" s="54" t="s">
        <v>252</v>
      </c>
      <c r="P24" s="51" t="s">
        <v>294</v>
      </c>
      <c r="Q24" s="55">
        <v>0.36399999999999999</v>
      </c>
      <c r="R24" s="51" t="s">
        <v>254</v>
      </c>
      <c r="V24" s="51"/>
      <c r="W24" s="51">
        <v>0</v>
      </c>
      <c r="X24" s="51">
        <v>1</v>
      </c>
      <c r="Y24" s="54" t="s">
        <v>276</v>
      </c>
      <c r="Z24" s="51" t="s">
        <v>304</v>
      </c>
      <c r="AA24" s="55">
        <v>0</v>
      </c>
      <c r="AB24" s="51" t="s">
        <v>262</v>
      </c>
    </row>
    <row r="25" spans="2:28" ht="40.5" customHeight="1">
      <c r="B25" s="51"/>
      <c r="C25" s="51">
        <v>0</v>
      </c>
      <c r="D25" s="51">
        <v>1</v>
      </c>
      <c r="E25" s="54" t="s">
        <v>278</v>
      </c>
      <c r="F25" s="51" t="s">
        <v>121</v>
      </c>
      <c r="G25" s="55">
        <v>1</v>
      </c>
      <c r="H25" s="51" t="s">
        <v>245</v>
      </c>
      <c r="L25" s="51"/>
      <c r="M25" s="51">
        <v>0</v>
      </c>
      <c r="N25" s="51">
        <v>1</v>
      </c>
      <c r="O25" s="54" t="s">
        <v>255</v>
      </c>
      <c r="P25" s="51" t="s">
        <v>295</v>
      </c>
      <c r="Q25" s="55">
        <v>0.33300000000000002</v>
      </c>
      <c r="R25" s="51" t="s">
        <v>257</v>
      </c>
      <c r="V25" s="51"/>
      <c r="W25" s="51">
        <v>0</v>
      </c>
      <c r="X25" s="51">
        <v>1</v>
      </c>
      <c r="Y25" s="54" t="s">
        <v>278</v>
      </c>
      <c r="Z25" s="51" t="s">
        <v>121</v>
      </c>
      <c r="AA25" s="55">
        <v>1</v>
      </c>
      <c r="AB25" s="51" t="s">
        <v>245</v>
      </c>
    </row>
    <row r="26" spans="2:28" ht="40.5" customHeight="1">
      <c r="B26" s="51"/>
      <c r="C26" s="51">
        <v>0</v>
      </c>
      <c r="D26" s="51">
        <v>1</v>
      </c>
      <c r="E26" s="54" t="s">
        <v>279</v>
      </c>
      <c r="F26" s="51" t="s">
        <v>121</v>
      </c>
      <c r="G26" s="55">
        <v>1</v>
      </c>
      <c r="H26" s="51" t="s">
        <v>245</v>
      </c>
      <c r="L26" s="51"/>
      <c r="M26" s="51">
        <v>0</v>
      </c>
      <c r="N26" s="51">
        <v>1</v>
      </c>
      <c r="O26" s="54" t="s">
        <v>258</v>
      </c>
      <c r="P26" s="51" t="s">
        <v>296</v>
      </c>
      <c r="Q26" s="55">
        <v>0.41599999999999998</v>
      </c>
      <c r="R26" s="51" t="s">
        <v>257</v>
      </c>
      <c r="V26" s="51"/>
      <c r="W26" s="51">
        <v>0</v>
      </c>
      <c r="X26" s="51">
        <v>1</v>
      </c>
      <c r="Y26" s="54" t="s">
        <v>279</v>
      </c>
      <c r="Z26" s="51" t="s">
        <v>121</v>
      </c>
      <c r="AA26" s="55">
        <v>1</v>
      </c>
      <c r="AB26" s="51" t="s">
        <v>245</v>
      </c>
    </row>
    <row r="27" spans="2:28" ht="81" customHeight="1">
      <c r="B27" s="51"/>
      <c r="C27" s="51">
        <v>0</v>
      </c>
      <c r="D27" s="51">
        <v>1</v>
      </c>
      <c r="E27" s="54" t="s">
        <v>280</v>
      </c>
      <c r="F27" s="51" t="s">
        <v>121</v>
      </c>
      <c r="G27" s="55">
        <v>1</v>
      </c>
      <c r="H27" s="51" t="s">
        <v>245</v>
      </c>
      <c r="L27" s="51"/>
      <c r="M27" s="51">
        <v>0</v>
      </c>
      <c r="N27" s="51">
        <v>1</v>
      </c>
      <c r="O27" s="54" t="s">
        <v>244</v>
      </c>
      <c r="P27" s="51" t="s">
        <v>121</v>
      </c>
      <c r="Q27" s="55">
        <v>1</v>
      </c>
      <c r="R27" s="51" t="s">
        <v>245</v>
      </c>
      <c r="V27" s="51"/>
      <c r="W27" s="51">
        <v>0</v>
      </c>
      <c r="X27" s="51">
        <v>1</v>
      </c>
      <c r="Y27" s="54" t="s">
        <v>280</v>
      </c>
      <c r="Z27" s="51" t="s">
        <v>121</v>
      </c>
      <c r="AA27" s="55">
        <v>1</v>
      </c>
      <c r="AB27" s="51" t="s">
        <v>245</v>
      </c>
    </row>
    <row r="28" spans="2:28" ht="54" customHeight="1">
      <c r="B28" s="51"/>
      <c r="C28" s="51">
        <v>0</v>
      </c>
      <c r="D28" s="51">
        <v>1</v>
      </c>
      <c r="E28" s="54" t="s">
        <v>281</v>
      </c>
      <c r="F28" s="51" t="s">
        <v>121</v>
      </c>
      <c r="G28" s="55">
        <v>1</v>
      </c>
      <c r="H28" s="51" t="s">
        <v>245</v>
      </c>
      <c r="L28" s="51"/>
      <c r="M28" s="51">
        <v>0</v>
      </c>
      <c r="N28" s="51">
        <v>1</v>
      </c>
      <c r="O28" s="54" t="s">
        <v>246</v>
      </c>
      <c r="P28" s="51" t="s">
        <v>121</v>
      </c>
      <c r="Q28" s="55">
        <v>1</v>
      </c>
      <c r="R28" s="51" t="s">
        <v>245</v>
      </c>
      <c r="V28" s="51"/>
      <c r="W28" s="51">
        <v>0</v>
      </c>
      <c r="X28" s="51">
        <v>1</v>
      </c>
      <c r="Y28" s="54" t="s">
        <v>281</v>
      </c>
      <c r="Z28" s="51" t="s">
        <v>121</v>
      </c>
      <c r="AA28" s="55">
        <v>1</v>
      </c>
      <c r="AB28" s="51" t="s">
        <v>245</v>
      </c>
    </row>
    <row r="29" spans="2:28" ht="54" customHeight="1">
      <c r="B29" s="51"/>
      <c r="C29" s="51">
        <v>0</v>
      </c>
      <c r="D29" s="51">
        <v>1</v>
      </c>
      <c r="E29" s="54" t="s">
        <v>282</v>
      </c>
      <c r="F29" s="51" t="s">
        <v>283</v>
      </c>
      <c r="G29" s="55">
        <v>5.8000000000000003E-2</v>
      </c>
      <c r="H29" s="51" t="s">
        <v>284</v>
      </c>
      <c r="L29" s="51"/>
      <c r="M29" s="51">
        <v>0</v>
      </c>
      <c r="N29" s="51">
        <v>1</v>
      </c>
      <c r="O29" s="54" t="s">
        <v>247</v>
      </c>
      <c r="P29" s="51" t="s">
        <v>121</v>
      </c>
      <c r="Q29" s="55">
        <v>1</v>
      </c>
      <c r="R29" s="51" t="s">
        <v>245</v>
      </c>
      <c r="V29" s="51"/>
      <c r="W29" s="51">
        <v>0</v>
      </c>
      <c r="X29" s="51">
        <v>1</v>
      </c>
      <c r="Y29" s="54" t="s">
        <v>282</v>
      </c>
      <c r="Z29" s="51" t="s">
        <v>305</v>
      </c>
      <c r="AA29" s="55">
        <v>0.112</v>
      </c>
      <c r="AB29" s="51" t="s">
        <v>284</v>
      </c>
    </row>
    <row r="30" spans="2:28" ht="81" customHeight="1">
      <c r="B30" s="51"/>
      <c r="C30" s="51">
        <v>0</v>
      </c>
      <c r="D30" s="51">
        <v>1</v>
      </c>
      <c r="E30" s="54" t="s">
        <v>285</v>
      </c>
      <c r="F30" s="51" t="s">
        <v>286</v>
      </c>
      <c r="G30" s="55">
        <v>0.629</v>
      </c>
      <c r="H30" s="51" t="s">
        <v>287</v>
      </c>
      <c r="L30" s="51"/>
      <c r="M30" s="51">
        <v>0</v>
      </c>
      <c r="N30" s="51">
        <v>1</v>
      </c>
      <c r="O30" s="54" t="s">
        <v>248</v>
      </c>
      <c r="P30" s="51" t="s">
        <v>121</v>
      </c>
      <c r="Q30" s="55">
        <v>1</v>
      </c>
      <c r="R30" s="51" t="s">
        <v>245</v>
      </c>
      <c r="V30" s="51"/>
      <c r="W30" s="51">
        <v>0</v>
      </c>
      <c r="X30" s="51">
        <v>1</v>
      </c>
      <c r="Y30" s="54" t="s">
        <v>285</v>
      </c>
      <c r="Z30" s="51" t="s">
        <v>306</v>
      </c>
      <c r="AA30" s="55">
        <v>0.44700000000000001</v>
      </c>
      <c r="AB30" s="51" t="s">
        <v>287</v>
      </c>
    </row>
  </sheetData>
  <mergeCells count="3">
    <mergeCell ref="B5:C5"/>
    <mergeCell ref="L5:M5"/>
    <mergeCell ref="V5:W5"/>
  </mergeCells>
  <phoneticPr fontId="1" type="noConversion"/>
  <hyperlinks>
    <hyperlink ref="E10" r:id="rId1" location="1_WITHOUT_RXSEN/report.html#Test222" display="../CTS/ - 1_WITHOUT_RXSEN/report.html#Test222"/>
    <hyperlink ref="E11" r:id="rId2" location="1_WITHOUT_RXSEN/report.html#Test200" display="../CTS/ - 1_WITHOUT_RXSEN/report.html#Test200"/>
    <hyperlink ref="E12" r:id="rId3" location="1_WITHOUT_RXSEN/report.html#Test201" display="../CTS/ - 1_WITHOUT_RXSEN/report.html#Test201"/>
    <hyperlink ref="E13" r:id="rId4" location="1_WITHOUT_RXSEN/report.html#Test2220" display="../CTS/ - 1_WITHOUT_RXSEN/report.html#Test2220"/>
    <hyperlink ref="E14" r:id="rId5" location="1_WITHOUT_RXSEN/report.html#Test203" display="../CTS/ - 1_WITHOUT_RXSEN/report.html#Test203"/>
    <hyperlink ref="E15" r:id="rId6" location="1_WITHOUT_RXSEN/report.html#Test204" display="../CTS/ - 1_WITHOUT_RXSEN/report.html#Test204"/>
    <hyperlink ref="E16" r:id="rId7" location="1_WITHOUT_RXSEN/report.html#Test205" display="../CTS/ - 1_WITHOUT_RXSEN/report.html#Test205"/>
    <hyperlink ref="E17" r:id="rId8" location="1_WITHOUT_RXSEN/report.html#Test206" display="../CTS/ - 1_WITHOUT_RXSEN/report.html#Test206"/>
    <hyperlink ref="E18" r:id="rId9" location="1_WITHOUT_RXSEN/report.html#Test207" display="../CTS/ - 1_WITHOUT_RXSEN/report.html#Test207"/>
    <hyperlink ref="E19" r:id="rId10" location="1_WITHOUT_RXSEN/report.html#Test208" display="../CTS/ - 1_WITHOUT_RXSEN/report.html#Test208"/>
    <hyperlink ref="E20" r:id="rId11" location="1_WITHOUT_RXSEN/report.html#Test209" display="../CTS/ - 1_WITHOUT_RXSEN/report.html#Test209"/>
    <hyperlink ref="E21" r:id="rId12" location="1_WITHOUT_RXSEN/report.html#Test210" display="../CTS/ - 1_WITHOUT_RXSEN/report.html#Test210"/>
    <hyperlink ref="E22" r:id="rId13" location="1_WITHOUT_RXSEN/report.html#Test211" display="../CTS/ - 1_WITHOUT_RXSEN/report.html#Test211"/>
    <hyperlink ref="E23" r:id="rId14" location="1_WITHOUT_RXSEN/report.html#Test212" display="../CTS/ - 1_WITHOUT_RXSEN/report.html#Test212"/>
    <hyperlink ref="E24" r:id="rId15" location="1_WITHOUT_RXSEN/report.html#Test213" display="../CTS/ - 1_WITHOUT_RXSEN/report.html#Test213"/>
    <hyperlink ref="E25" r:id="rId16" location="1_WITHOUT_RXSEN/report.html#Test214" display="../CTS/ - 1_WITHOUT_RXSEN/report.html#Test214"/>
    <hyperlink ref="E26" r:id="rId17" location="1_WITHOUT_RXSEN/report.html#Test215" display="../CTS/ - 1_WITHOUT_RXSEN/report.html#Test215"/>
    <hyperlink ref="E27" r:id="rId18" location="1_WITHOUT_RXSEN/report.html#Test216" display="../CTS/ - 1_WITHOUT_RXSEN/report.html#Test216"/>
    <hyperlink ref="E28" r:id="rId19" location="1_rxsen/report.html#Test217" display="../CTS/ - 1_rxsen/report.html#Test217"/>
    <hyperlink ref="E29" r:id="rId20" location="1_rxsen/report.html#Test218" display="../CTS/ - 1_rxsen/report.html#Test218"/>
    <hyperlink ref="E30" r:id="rId21" location="1_rxsen/report.html#Test219" display="../CTS/ - 1_rxsen/report.html#Test219"/>
    <hyperlink ref="O10" r:id="rId22" location="2/report.html#Test217" display="../CTS/ - 2/report.html#Test217"/>
    <hyperlink ref="O11" r:id="rId23" location="2/report.html#Test218" display="../CTS/ - 2/report.html#Test218"/>
    <hyperlink ref="O12" r:id="rId24" location="2/report.html#Test219" display="../CTS/ - 2/report.html#Test219"/>
    <hyperlink ref="O13" r:id="rId25" location="2/report.html#Test214" display="../CTS/ - 2/report.html#Test214"/>
    <hyperlink ref="O14" r:id="rId26" location="2/report.html#Test215" display="../CTS/ - 2/report.html#Test215"/>
    <hyperlink ref="O15" r:id="rId27" location="2/report.html#Test216" display="../CTS/ - 2/report.html#Test216"/>
    <hyperlink ref="O16" r:id="rId28" location="2/report.html#Test207" display="../CTS/ - 2/report.html#Test207"/>
    <hyperlink ref="O17" r:id="rId29" location="2/report.html#Test208" display="../CTS/ - 2/report.html#Test208"/>
    <hyperlink ref="O18" r:id="rId30" location="2/report.html#Test209" display="../CTS/ - 2/report.html#Test209"/>
    <hyperlink ref="O19" r:id="rId31" location="2/report.html#Test210" display="../CTS/ - 2/report.html#Test210"/>
    <hyperlink ref="O20" r:id="rId32" location="2/report.html#Test211" display="../CTS/ - 2/report.html#Test211"/>
    <hyperlink ref="O21" r:id="rId33" location="2/report.html#Test212" display="../CTS/ - 2/report.html#Test212"/>
    <hyperlink ref="O22" r:id="rId34" location="2/report.html#Test213" display="../CTS/ - 2/report.html#Test213"/>
    <hyperlink ref="O23" r:id="rId35" location="2/report.html#Test203" display="../CTS/ - 2/report.html#Test203"/>
    <hyperlink ref="O24" r:id="rId36" location="2/report.html#Test204" display="../CTS/ - 2/report.html#Test204"/>
    <hyperlink ref="O25" r:id="rId37" location="2/report.html#Test205" display="../CTS/ - 2/report.html#Test205"/>
    <hyperlink ref="O26" r:id="rId38" location="2/report.html#Test206" display="../CTS/ - 2/report.html#Test206"/>
    <hyperlink ref="O27" r:id="rId39" location="2/report.html#Test222" display="../CTS/ - 2/report.html#Test222"/>
    <hyperlink ref="O28" r:id="rId40" location="2/report.html#Test200" display="../CTS/ - 2/report.html#Test200"/>
    <hyperlink ref="O29" r:id="rId41" location="2/report.html#Test201" display="../CTS/ - 2/report.html#Test201"/>
    <hyperlink ref="O30" r:id="rId42" location="2/report.html#Test2220" display="../CTS/ - 2/report.html#Test2220"/>
    <hyperlink ref="Y10" r:id="rId43" location="3/report.html#Test222" display="../CTS/ - 3/report.html#Test222"/>
    <hyperlink ref="Y11" r:id="rId44" location="3/report.html#Test200" display="../CTS/ - 3/report.html#Test200"/>
    <hyperlink ref="Y12" r:id="rId45" location="3/report.html#Test201" display="../CTS/ - 3/report.html#Test201"/>
    <hyperlink ref="Y13" r:id="rId46" location="3/report.html#Test2220" display="../CTS/ - 3/report.html#Test2220"/>
    <hyperlink ref="Y14" r:id="rId47" location="3/report.html#Test203" display="../CTS/ - 3/report.html#Test203"/>
    <hyperlink ref="Y15" r:id="rId48" location="3/report.html#Test204" display="../CTS/ - 3/report.html#Test204"/>
    <hyperlink ref="Y16" r:id="rId49" location="3/report.html#Test205" display="../CTS/ - 3/report.html#Test205"/>
    <hyperlink ref="Y17" r:id="rId50" location="3/report.html#Test206" display="../CTS/ - 3/report.html#Test206"/>
    <hyperlink ref="Y18" r:id="rId51" location="3/report.html#Test207" display="../CTS/ - 3/report.html#Test207"/>
    <hyperlink ref="Y19" r:id="rId52" location="3/report.html#Test208" display="../CTS/ - 3/report.html#Test208"/>
    <hyperlink ref="Y20" r:id="rId53" location="3/report.html#Test209" display="../CTS/ - 3/report.html#Test209"/>
    <hyperlink ref="Y21" r:id="rId54" location="3/report.html#Test210" display="../CTS/ - 3/report.html#Test210"/>
    <hyperlink ref="Y22" r:id="rId55" location="3/report.html#Test211" display="../CTS/ - 3/report.html#Test211"/>
    <hyperlink ref="Y23" r:id="rId56" location="3/report.html#Test212" display="../CTS/ - 3/report.html#Test212"/>
    <hyperlink ref="Y24" r:id="rId57" location="3/report.html#Test213" display="../CTS/ - 3/report.html#Test213"/>
    <hyperlink ref="Y25" r:id="rId58" location="3/report.html#Test214" display="../CTS/ - 3/report.html#Test214"/>
    <hyperlink ref="Y26" r:id="rId59" location="3/report.html#Test215" display="../CTS/ - 3/report.html#Test215"/>
    <hyperlink ref="Y27" r:id="rId60" location="3/report.html#Test216" display="../CTS/ - 3/report.html#Test216"/>
    <hyperlink ref="Y28" r:id="rId61" location="3/report.html#Test217" display="../CTS/ - 3/report.html#Test217"/>
    <hyperlink ref="Y29" r:id="rId62" location="3/report.html#Test218" display="../CTS/ - 3/report.html#Test218"/>
    <hyperlink ref="Y30" r:id="rId63" location="3/report.html#Test219" display="../CTS/ - 3/report.html#Test219"/>
  </hyperlinks>
  <pageMargins left="0.7" right="0.7" top="0.75" bottom="0.75" header="0.3" footer="0.3"/>
  <drawing r:id="rId6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6" sqref="F26"/>
    </sheetView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4</vt:i4>
      </vt:variant>
    </vt:vector>
  </HeadingPairs>
  <TitlesOfParts>
    <vt:vector size="15" baseType="lpstr">
      <vt:lpstr>Status</vt:lpstr>
      <vt:lpstr>Checklist</vt:lpstr>
      <vt:lpstr>Register</vt:lpstr>
      <vt:lpstr>Scan CMU</vt:lpstr>
      <vt:lpstr>mask test</vt:lpstr>
      <vt:lpstr>Squelch Level</vt:lpstr>
      <vt:lpstr>Test JK</vt:lpstr>
      <vt:lpstr>TERM</vt:lpstr>
      <vt:lpstr>RX JTOL</vt:lpstr>
      <vt:lpstr>CTS</vt:lpstr>
      <vt:lpstr>premp</vt:lpstr>
      <vt:lpstr>CTS!SummaryTest216</vt:lpstr>
      <vt:lpstr>CTS!SummaryTest219</vt:lpstr>
      <vt:lpstr>CTS!SummaryTest2220</vt:lpstr>
      <vt:lpstr>CTS!Top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2018-09-30T10:47:36Z</dcterms:modified>
</cp:coreProperties>
</file>